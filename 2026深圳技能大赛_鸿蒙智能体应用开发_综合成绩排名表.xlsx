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名总表(入围70人)" sheetId="1" state="visible" r:id="rId1"/>
    <sheet xmlns:r="http://schemas.openxmlformats.org/officeDocument/2006/relationships" name="全部选手总览(132人)" sheetId="2" state="visible" r:id="rId2"/>
    <sheet xmlns:r="http://schemas.openxmlformats.org/officeDocument/2006/relationships" name="数据分析与图表看板" sheetId="3" state="visible" r:id="rId3"/>
    <sheet xmlns:r="http://schemas.openxmlformats.org/officeDocument/2006/relationships" name="原始公示表核对(初赛+决赛)" sheetId="4" state="visible" r:id="rId4"/>
  </sheets>
  <definedNames>
    <definedName name="_xlnm._FilterDatabase" localSheetId="0" hidden="1">'综合排名总表(入围70人)'!$A$3:$P$73</definedName>
    <definedName name="_xlnm._FilterDatabase" localSheetId="1" hidden="1">'全部选手总览(132人)'!$A$3:$K$135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+0;-0;0"/>
    <numFmt numFmtId="167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1B365D"/>
      <sz val="14"/>
    </font>
    <font>
      <name val="Microsoft YaHei"/>
      <color rgb="00718096"/>
      <sz val="10"/>
    </font>
    <font>
      <name val="Microsoft YaHei"/>
      <b val="1"/>
      <color rgb="00FFFFFF"/>
      <sz val="10"/>
    </font>
    <font>
      <name val="Microsoft YaHei"/>
      <b val="1"/>
      <color rgb="001A202C"/>
      <sz val="10"/>
    </font>
    <font>
      <name val="Microsoft YaHei"/>
      <color rgb="001A202C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F7FAFC"/>
        <bgColor rgb="00F7FAFC"/>
      </patternFill>
    </fill>
    <fill>
      <patternFill patternType="solid">
        <fgColor rgb="00E6F0FA"/>
        <bgColor rgb="00E6F0FA"/>
      </patternFill>
    </fill>
    <fill>
      <patternFill patternType="solid">
        <fgColor rgb="00F2F2F2"/>
        <bgColor rgb="00F2F2F2"/>
      </patternFill>
    </fill>
    <fill>
      <patternFill patternType="solid">
        <fgColor rgb="002C5E8A"/>
        <bgColor rgb="002C5E8A"/>
      </patternFill>
    </fill>
  </fills>
  <borders count="3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medium">
        <color rgb="001B365D"/>
      </top>
      <bottom style="medium">
        <color rgb="001B365D"/>
      </bottom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2" fontId="4" fillId="3" borderId="2" applyAlignment="1" pivotButton="0" quotePrefix="0" xfId="0">
      <alignment horizontal="right" vertical="center" wrapText="1"/>
    </xf>
    <xf numFmtId="164" fontId="4" fillId="3" borderId="2" applyAlignment="1" pivotButton="0" quotePrefix="0" xfId="0">
      <alignment horizontal="right" vertical="center" wrapText="1"/>
    </xf>
    <xf numFmtId="165" fontId="4" fillId="3" borderId="2" applyAlignment="1" pivotButton="0" quotePrefix="0" xfId="0">
      <alignment horizontal="right" vertical="center" wrapText="1"/>
    </xf>
    <xf numFmtId="166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right" vertical="center" wrapText="1"/>
    </xf>
    <xf numFmtId="164" fontId="4" fillId="4" borderId="2" applyAlignment="1" pivotButton="0" quotePrefix="0" xfId="0">
      <alignment horizontal="right" vertical="center" wrapText="1"/>
    </xf>
    <xf numFmtId="165" fontId="4" fillId="4" borderId="2" applyAlignment="1" pivotButton="0" quotePrefix="0" xfId="0">
      <alignment horizontal="right" vertical="center" wrapText="1"/>
    </xf>
    <xf numFmtId="166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right" vertical="center" wrapText="1"/>
    </xf>
    <xf numFmtId="166" fontId="4" fillId="5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2" fontId="5" fillId="6" borderId="2" applyAlignment="1" pivotButton="0" quotePrefix="0" xfId="0">
      <alignment horizontal="right" vertical="center" wrapText="1"/>
    </xf>
    <xf numFmtId="164" fontId="5" fillId="6" borderId="2" applyAlignment="1" pivotButton="0" quotePrefix="0" xfId="0">
      <alignment horizontal="right" vertical="center" wrapText="1"/>
    </xf>
    <xf numFmtId="2" fontId="4" fillId="6" borderId="2" applyAlignment="1" pivotButton="0" quotePrefix="0" xfId="0">
      <alignment horizontal="right" vertical="center" wrapText="1"/>
    </xf>
    <xf numFmtId="165" fontId="5" fillId="6" borderId="2" applyAlignment="1" pivotButton="0" quotePrefix="0" xfId="0">
      <alignment horizontal="right" vertical="center" wrapText="1"/>
    </xf>
    <xf numFmtId="166" fontId="5" fillId="6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right" vertical="center" wrapText="1"/>
    </xf>
    <xf numFmtId="164" fontId="5" fillId="0" borderId="2" applyAlignment="1" pivotButton="0" quotePrefix="0" xfId="0">
      <alignment horizontal="right" vertical="center" wrapText="1"/>
    </xf>
    <xf numFmtId="2" fontId="4" fillId="7" borderId="2" applyAlignment="1" pivotButton="0" quotePrefix="0" xfId="0">
      <alignment horizontal="right" vertical="center" wrapText="1"/>
    </xf>
    <xf numFmtId="165" fontId="5" fillId="0" borderId="2" applyAlignment="1" pivotButton="0" quotePrefix="0" xfId="0">
      <alignment horizontal="right" vertical="center" wrapText="1"/>
    </xf>
    <xf numFmtId="166" fontId="5" fillId="0" borderId="2" applyAlignment="1" pivotButton="0" quotePrefix="0" xfId="0">
      <alignment horizontal="right" vertical="center" wrapText="1"/>
    </xf>
    <xf numFmtId="0" fontId="2" fillId="8" borderId="2" applyAlignment="1" pivotButton="0" quotePrefix="0" xfId="0">
      <alignment horizontal="center" vertical="center" wrapText="1"/>
    </xf>
    <xf numFmtId="2" fontId="2" fillId="8" borderId="2" applyAlignment="1" pivotButton="0" quotePrefix="0" xfId="0">
      <alignment horizontal="right" vertical="center" wrapText="1"/>
    </xf>
    <xf numFmtId="164" fontId="2" fillId="8" borderId="2" applyAlignment="1" pivotButton="0" quotePrefix="0" xfId="0">
      <alignment horizontal="right" vertical="center" wrapText="1"/>
    </xf>
    <xf numFmtId="165" fontId="2" fillId="8" borderId="2" applyAlignment="1" pivotButton="0" quotePrefix="0" xfId="0">
      <alignment horizontal="right" vertical="center" wrapText="1"/>
    </xf>
    <xf numFmtId="166" fontId="2" fillId="8" borderId="2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2" fontId="4" fillId="7" borderId="1" applyAlignment="1" pivotButton="0" quotePrefix="0" xfId="0">
      <alignment horizontal="right" vertical="center" wrapText="1"/>
    </xf>
    <xf numFmtId="164" fontId="4" fillId="7" borderId="1" applyAlignment="1" pivotButton="0" quotePrefix="0" xfId="0">
      <alignment horizontal="right" vertical="center" wrapText="1"/>
    </xf>
    <xf numFmtId="165" fontId="4" fillId="7" borderId="1" applyAlignment="1" pivotButton="0" quotePrefix="0" xfId="0">
      <alignment horizontal="right" vertical="center" wrapText="1"/>
    </xf>
    <xf numFmtId="0" fontId="2" fillId="6" borderId="2" applyAlignment="1" pivotButton="0" quotePrefix="0" xfId="0">
      <alignment horizontal="center" vertical="center" wrapText="1"/>
    </xf>
    <xf numFmtId="2" fontId="2" fillId="6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righ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167" fontId="5" fillId="0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入围决赛70人综合成绩分段分布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'数据分析与图表看板'!F4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'数据分析与图表看板'!$E$5:$E$10</f>
            </numRef>
          </cat>
          <val>
            <numRef>
              <f>'数据分析与图表看板'!$F$5:$F$10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分数区间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综合排名前10名选手得分构成 (初赛30% + 决赛70%)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'数据分析与图表看板'!F13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'数据分析与图表看板'!$E$14:$E$23</f>
            </numRef>
          </cat>
          <val>
            <numRef>
              <f>'数据分析与图表看板'!$F$14:$F$23</f>
            </numRef>
          </val>
        </ser>
        <ser>
          <idx val="1"/>
          <order val="1"/>
          <tx>
            <strRef>
              <f>'数据分析与图表看板'!G13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'数据分析与图表看板'!$E$14:$E$23</f>
            </numRef>
          </cat>
          <val>
            <numRef>
              <f>'数据分析与图表看板'!$G$14:$G$23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折算得分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8" customWidth="1" min="4" max="4"/>
    <col width="12" customWidth="1" min="5" max="5"/>
    <col width="14" customWidth="1" min="6" max="6"/>
    <col width="10" customWidth="1" min="7" max="7"/>
    <col width="13" customWidth="1" min="8" max="8"/>
    <col width="12" customWidth="1" min="9" max="9"/>
    <col width="14" customWidth="1" min="10" max="10"/>
    <col width="10" customWidth="1" min="11" max="11"/>
    <col width="13" customWidth="1" min="12" max="12"/>
    <col width="15" customWidth="1" min="13" max="13"/>
    <col width="15" customWidth="1" min="14" max="14"/>
    <col width="14" customWidth="1" min="15" max="15"/>
    <col width="12" customWidth="1" min="16" max="16"/>
  </cols>
  <sheetData>
    <row r="1" ht="30" customHeight="1">
      <c r="A1" s="1" t="inlineStr">
        <is>
          <t>深圳市第十六届职工技术创新运动会暨2026年深圳技能大赛—计算机程序设计员（鸿蒙智能体应用开发）综合成绩排名表</t>
        </is>
      </c>
    </row>
    <row r="2" ht="20" customHeight="1">
      <c r="A2" s="2" t="inlineStr">
        <is>
          <t>核算规则：综合总成绩 = 初赛成绩 × 30% + 决赛成绩 × 70%  |  数据范围：入围决赛全部 70 名选手（含决赛实考 57 人、决赛缺赛 13 人）</t>
        </is>
      </c>
    </row>
    <row r="3" ht="28" customHeight="1">
      <c r="A3" s="3" t="inlineStr">
        <is>
          <t>排序序号</t>
        </is>
      </c>
      <c r="B3" s="3" t="inlineStr">
        <is>
          <t>综合排名</t>
        </is>
      </c>
      <c r="C3" s="3" t="inlineStr">
        <is>
          <t>参赛证号</t>
        </is>
      </c>
      <c r="D3" s="3" t="inlineStr">
        <is>
          <t>性别</t>
        </is>
      </c>
      <c r="E3" s="3" t="inlineStr">
        <is>
          <t>初赛成绩</t>
        </is>
      </c>
      <c r="F3" s="3" t="inlineStr">
        <is>
          <t>初赛折算(30%)</t>
        </is>
      </c>
      <c r="G3" s="3" t="inlineStr">
        <is>
          <t>初赛排名</t>
        </is>
      </c>
      <c r="H3" s="3" t="inlineStr">
        <is>
          <t>初赛原表序号</t>
        </is>
      </c>
      <c r="I3" s="3" t="inlineStr">
        <is>
          <t>决赛成绩</t>
        </is>
      </c>
      <c r="J3" s="3" t="inlineStr">
        <is>
          <t>决赛折算(70%)</t>
        </is>
      </c>
      <c r="K3" s="3" t="inlineStr">
        <is>
          <t>决赛排名</t>
        </is>
      </c>
      <c r="L3" s="3" t="inlineStr">
        <is>
          <t>决赛原表序号</t>
        </is>
      </c>
      <c r="M3" s="3" t="inlineStr">
        <is>
          <t>综合总成绩
(保留2位)</t>
        </is>
      </c>
      <c r="N3" s="3" t="inlineStr">
        <is>
          <t>综合总成绩
(精确4位)</t>
        </is>
      </c>
      <c r="O3" s="3" t="inlineStr">
        <is>
          <t>排名变化
(初赛→综合)</t>
        </is>
      </c>
      <c r="P3" s="3" t="inlineStr">
        <is>
          <t>备注</t>
        </is>
      </c>
    </row>
    <row r="4" ht="21" customHeight="1">
      <c r="A4" s="4" t="n">
        <v>1</v>
      </c>
      <c r="B4" s="4">
        <f>RANK(N4,$N$4:$N$73)</f>
        <v/>
      </c>
      <c r="C4" s="4" t="inlineStr">
        <is>
          <t>262100007023</t>
        </is>
      </c>
      <c r="D4" s="4" t="inlineStr">
        <is>
          <t>男</t>
        </is>
      </c>
      <c r="E4" s="5" t="n">
        <v>100</v>
      </c>
      <c r="F4" s="6">
        <f>E4*0.3</f>
        <v/>
      </c>
      <c r="G4" s="4" t="n">
        <v>1</v>
      </c>
      <c r="H4" s="4" t="n">
        <v>1</v>
      </c>
      <c r="I4" s="5" t="n">
        <v>97.93000000000001</v>
      </c>
      <c r="J4" s="6">
        <f>I4*0.7</f>
        <v/>
      </c>
      <c r="K4" s="4" t="n">
        <v>1</v>
      </c>
      <c r="L4" s="4" t="n">
        <v>8</v>
      </c>
      <c r="M4" s="5">
        <f>ROUND(F4+J4, 2)</f>
        <v/>
      </c>
      <c r="N4" s="7">
        <f>F4+J4</f>
        <v/>
      </c>
      <c r="O4" s="8">
        <f>G4-B4</f>
        <v/>
      </c>
      <c r="P4" s="4" t="inlineStr"/>
    </row>
    <row r="5" ht="21" customHeight="1">
      <c r="A5" s="9" t="n">
        <v>2</v>
      </c>
      <c r="B5" s="9">
        <f>RANK(N5,$N$4:$N$73)</f>
        <v/>
      </c>
      <c r="C5" s="9" t="inlineStr">
        <is>
          <t>262100007139</t>
        </is>
      </c>
      <c r="D5" s="9" t="inlineStr">
        <is>
          <t>女</t>
        </is>
      </c>
      <c r="E5" s="10" t="n">
        <v>98</v>
      </c>
      <c r="F5" s="11">
        <f>E5*0.3</f>
        <v/>
      </c>
      <c r="G5" s="9" t="n">
        <v>2</v>
      </c>
      <c r="H5" s="9" t="n">
        <v>2</v>
      </c>
      <c r="I5" s="10" t="n">
        <v>94.73</v>
      </c>
      <c r="J5" s="11">
        <f>I5*0.7</f>
        <v/>
      </c>
      <c r="K5" s="9" t="n">
        <v>5</v>
      </c>
      <c r="L5" s="9" t="n">
        <v>56</v>
      </c>
      <c r="M5" s="10">
        <f>ROUND(F5+J5, 2)</f>
        <v/>
      </c>
      <c r="N5" s="12">
        <f>F5+J5</f>
        <v/>
      </c>
      <c r="O5" s="13">
        <f>G5-B5</f>
        <v/>
      </c>
      <c r="P5" s="9" t="inlineStr"/>
    </row>
    <row r="6" ht="21" customHeight="1">
      <c r="A6" s="14" t="n">
        <v>3</v>
      </c>
      <c r="B6" s="14">
        <f>RANK(N6,$N$4:$N$73)</f>
        <v/>
      </c>
      <c r="C6" s="14" t="inlineStr">
        <is>
          <t>262100007031</t>
        </is>
      </c>
      <c r="D6" s="14" t="inlineStr">
        <is>
          <t>男</t>
        </is>
      </c>
      <c r="E6" s="15" t="n">
        <v>98</v>
      </c>
      <c r="F6" s="16">
        <f>E6*0.3</f>
        <v/>
      </c>
      <c r="G6" s="14" t="n">
        <v>2</v>
      </c>
      <c r="H6" s="14" t="n">
        <v>3</v>
      </c>
      <c r="I6" s="15" t="n">
        <v>94.27</v>
      </c>
      <c r="J6" s="16">
        <f>I6*0.7</f>
        <v/>
      </c>
      <c r="K6" s="14" t="n">
        <v>7</v>
      </c>
      <c r="L6" s="14" t="n">
        <v>12</v>
      </c>
      <c r="M6" s="15">
        <f>ROUND(F6+J6, 2)</f>
        <v/>
      </c>
      <c r="N6" s="17">
        <f>F6+J6</f>
        <v/>
      </c>
      <c r="O6" s="18">
        <f>G6-B6</f>
        <v/>
      </c>
      <c r="P6" s="14" t="inlineStr"/>
    </row>
    <row r="7" ht="21" customHeight="1">
      <c r="A7" s="19" t="n">
        <v>4</v>
      </c>
      <c r="B7" s="20">
        <f>RANK(N7,$N$4:$N$73)</f>
        <v/>
      </c>
      <c r="C7" s="19" t="inlineStr">
        <is>
          <t>262100007024</t>
        </is>
      </c>
      <c r="D7" s="19" t="inlineStr">
        <is>
          <t>男</t>
        </is>
      </c>
      <c r="E7" s="21" t="n">
        <v>89.5</v>
      </c>
      <c r="F7" s="22">
        <f>E7*0.3</f>
        <v/>
      </c>
      <c r="G7" s="19" t="n">
        <v>8</v>
      </c>
      <c r="H7" s="19" t="n">
        <v>8</v>
      </c>
      <c r="I7" s="21" t="n">
        <v>94.90000000000001</v>
      </c>
      <c r="J7" s="22">
        <f>I7*0.7</f>
        <v/>
      </c>
      <c r="K7" s="19" t="n">
        <v>4</v>
      </c>
      <c r="L7" s="19" t="n">
        <v>9</v>
      </c>
      <c r="M7" s="23">
        <f>ROUND(F7+J7, 2)</f>
        <v/>
      </c>
      <c r="N7" s="24">
        <f>F7+J7</f>
        <v/>
      </c>
      <c r="O7" s="25">
        <f>G7-B7</f>
        <v/>
      </c>
      <c r="P7" s="19" t="inlineStr"/>
    </row>
    <row r="8" ht="21" customHeight="1">
      <c r="A8" s="26" t="n">
        <v>5</v>
      </c>
      <c r="B8" s="27">
        <f>RANK(N8,$N$4:$N$73)</f>
        <v/>
      </c>
      <c r="C8" s="26" t="inlineStr">
        <is>
          <t>262100007114</t>
        </is>
      </c>
      <c r="D8" s="26" t="inlineStr">
        <is>
          <t>男</t>
        </is>
      </c>
      <c r="E8" s="28" t="n">
        <v>91.5</v>
      </c>
      <c r="F8" s="29">
        <f>E8*0.3</f>
        <v/>
      </c>
      <c r="G8" s="26" t="n">
        <v>6</v>
      </c>
      <c r="H8" s="26" t="n">
        <v>6</v>
      </c>
      <c r="I8" s="28" t="n">
        <v>93.83</v>
      </c>
      <c r="J8" s="29">
        <f>I8*0.7</f>
        <v/>
      </c>
      <c r="K8" s="26" t="n">
        <v>9</v>
      </c>
      <c r="L8" s="26" t="n">
        <v>46</v>
      </c>
      <c r="M8" s="30">
        <f>ROUND(F8+J8, 2)</f>
        <v/>
      </c>
      <c r="N8" s="31">
        <f>F8+J8</f>
        <v/>
      </c>
      <c r="O8" s="32">
        <f>G8-B8</f>
        <v/>
      </c>
      <c r="P8" s="26" t="inlineStr"/>
    </row>
    <row r="9" ht="21" customHeight="1">
      <c r="A9" s="19" t="n">
        <v>6</v>
      </c>
      <c r="B9" s="20">
        <f>RANK(N9,$N$4:$N$73)</f>
        <v/>
      </c>
      <c r="C9" s="19" t="inlineStr">
        <is>
          <t>262100007002</t>
        </is>
      </c>
      <c r="D9" s="19" t="inlineStr">
        <is>
          <t>男</t>
        </is>
      </c>
      <c r="E9" s="21" t="n">
        <v>95.5</v>
      </c>
      <c r="F9" s="22">
        <f>E9*0.3</f>
        <v/>
      </c>
      <c r="G9" s="19" t="n">
        <v>4</v>
      </c>
      <c r="H9" s="19" t="n">
        <v>4</v>
      </c>
      <c r="I9" s="21" t="n">
        <v>91.37</v>
      </c>
      <c r="J9" s="22">
        <f>I9*0.7</f>
        <v/>
      </c>
      <c r="K9" s="19" t="n">
        <v>18</v>
      </c>
      <c r="L9" s="19" t="n">
        <v>1</v>
      </c>
      <c r="M9" s="23">
        <f>ROUND(F9+J9, 2)</f>
        <v/>
      </c>
      <c r="N9" s="24">
        <f>F9+J9</f>
        <v/>
      </c>
      <c r="O9" s="25">
        <f>G9-B9</f>
        <v/>
      </c>
      <c r="P9" s="19" t="inlineStr"/>
    </row>
    <row r="10" ht="21" customHeight="1">
      <c r="A10" s="26" t="n">
        <v>7</v>
      </c>
      <c r="B10" s="27">
        <f>RANK(N10,$N$4:$N$73)</f>
        <v/>
      </c>
      <c r="C10" s="26" t="inlineStr">
        <is>
          <t>262100007044</t>
        </is>
      </c>
      <c r="D10" s="26" t="inlineStr">
        <is>
          <t>男</t>
        </is>
      </c>
      <c r="E10" s="28" t="n">
        <v>84.5</v>
      </c>
      <c r="F10" s="29">
        <f>E10*0.3</f>
        <v/>
      </c>
      <c r="G10" s="26" t="n">
        <v>16</v>
      </c>
      <c r="H10" s="26" t="n">
        <v>16</v>
      </c>
      <c r="I10" s="28" t="n">
        <v>95.03</v>
      </c>
      <c r="J10" s="29">
        <f>I10*0.7</f>
        <v/>
      </c>
      <c r="K10" s="26" t="n">
        <v>2</v>
      </c>
      <c r="L10" s="26" t="n">
        <v>17</v>
      </c>
      <c r="M10" s="30">
        <f>ROUND(F10+J10, 2)</f>
        <v/>
      </c>
      <c r="N10" s="31">
        <f>F10+J10</f>
        <v/>
      </c>
      <c r="O10" s="32">
        <f>G10-B10</f>
        <v/>
      </c>
      <c r="P10" s="26" t="inlineStr"/>
    </row>
    <row r="11" ht="21" customHeight="1">
      <c r="A11" s="19" t="n">
        <v>8</v>
      </c>
      <c r="B11" s="20">
        <f>RANK(N11,$N$4:$N$73)</f>
        <v/>
      </c>
      <c r="C11" s="19" t="inlineStr">
        <is>
          <t>262100007156</t>
        </is>
      </c>
      <c r="D11" s="19" t="inlineStr">
        <is>
          <t>男</t>
        </is>
      </c>
      <c r="E11" s="21" t="n">
        <v>89.5</v>
      </c>
      <c r="F11" s="22">
        <f>E11*0.3</f>
        <v/>
      </c>
      <c r="G11" s="19" t="n">
        <v>8</v>
      </c>
      <c r="H11" s="19" t="n">
        <v>9</v>
      </c>
      <c r="I11" s="21" t="n">
        <v>91.87</v>
      </c>
      <c r="J11" s="22">
        <f>I11*0.7</f>
        <v/>
      </c>
      <c r="K11" s="19" t="n">
        <v>16</v>
      </c>
      <c r="L11" s="19" t="n">
        <v>62</v>
      </c>
      <c r="M11" s="23">
        <f>ROUND(F11+J11, 2)</f>
        <v/>
      </c>
      <c r="N11" s="24">
        <f>F11+J11</f>
        <v/>
      </c>
      <c r="O11" s="25">
        <f>G11-B11</f>
        <v/>
      </c>
      <c r="P11" s="19" t="inlineStr"/>
    </row>
    <row r="12" ht="21" customHeight="1">
      <c r="A12" s="26" t="n">
        <v>9</v>
      </c>
      <c r="B12" s="27">
        <f>RANK(N12,$N$4:$N$73)</f>
        <v/>
      </c>
      <c r="C12" s="26" t="inlineStr">
        <is>
          <t>262100007029</t>
        </is>
      </c>
      <c r="D12" s="26" t="inlineStr">
        <is>
          <t>男</t>
        </is>
      </c>
      <c r="E12" s="28" t="n">
        <v>87.5</v>
      </c>
      <c r="F12" s="29">
        <f>E12*0.3</f>
        <v/>
      </c>
      <c r="G12" s="26" t="n">
        <v>11</v>
      </c>
      <c r="H12" s="26" t="n">
        <v>11</v>
      </c>
      <c r="I12" s="28" t="n">
        <v>92.7</v>
      </c>
      <c r="J12" s="29">
        <f>I12*0.7</f>
        <v/>
      </c>
      <c r="K12" s="26" t="n">
        <v>13</v>
      </c>
      <c r="L12" s="26" t="n">
        <v>11</v>
      </c>
      <c r="M12" s="30">
        <f>ROUND(F12+J12, 2)</f>
        <v/>
      </c>
      <c r="N12" s="31">
        <f>F12+J12</f>
        <v/>
      </c>
      <c r="O12" s="32">
        <f>G12-B12</f>
        <v/>
      </c>
      <c r="P12" s="26" t="inlineStr"/>
    </row>
    <row r="13" ht="21" customHeight="1">
      <c r="A13" s="19" t="n">
        <v>10</v>
      </c>
      <c r="B13" s="20">
        <f>RANK(N13,$N$4:$N$73)</f>
        <v/>
      </c>
      <c r="C13" s="19" t="inlineStr">
        <is>
          <t>262100007008</t>
        </is>
      </c>
      <c r="D13" s="19" t="inlineStr">
        <is>
          <t>男</t>
        </is>
      </c>
      <c r="E13" s="21" t="n">
        <v>80</v>
      </c>
      <c r="F13" s="22">
        <f>E13*0.3</f>
        <v/>
      </c>
      <c r="G13" s="19" t="n">
        <v>29</v>
      </c>
      <c r="H13" s="19" t="n">
        <v>30</v>
      </c>
      <c r="I13" s="21" t="n">
        <v>95.03</v>
      </c>
      <c r="J13" s="22">
        <f>I13*0.7</f>
        <v/>
      </c>
      <c r="K13" s="19" t="n">
        <v>2</v>
      </c>
      <c r="L13" s="19" t="n">
        <v>5</v>
      </c>
      <c r="M13" s="23">
        <f>ROUND(F13+J13, 2)</f>
        <v/>
      </c>
      <c r="N13" s="24">
        <f>F13+J13</f>
        <v/>
      </c>
      <c r="O13" s="25">
        <f>G13-B13</f>
        <v/>
      </c>
      <c r="P13" s="19" t="inlineStr"/>
    </row>
    <row r="14" ht="21" customHeight="1">
      <c r="A14" s="26" t="n">
        <v>11</v>
      </c>
      <c r="B14" s="27">
        <f>RANK(N14,$N$4:$N$73)</f>
        <v/>
      </c>
      <c r="C14" s="26" t="inlineStr">
        <is>
          <t>262100007009</t>
        </is>
      </c>
      <c r="D14" s="26" t="inlineStr">
        <is>
          <t>男</t>
        </is>
      </c>
      <c r="E14" s="28" t="n">
        <v>78.5</v>
      </c>
      <c r="F14" s="29">
        <f>E14*0.3</f>
        <v/>
      </c>
      <c r="G14" s="26" t="n">
        <v>37</v>
      </c>
      <c r="H14" s="26" t="n">
        <v>38</v>
      </c>
      <c r="I14" s="28" t="n">
        <v>94.67</v>
      </c>
      <c r="J14" s="29">
        <f>I14*0.7</f>
        <v/>
      </c>
      <c r="K14" s="26" t="n">
        <v>6</v>
      </c>
      <c r="L14" s="26" t="n">
        <v>6</v>
      </c>
      <c r="M14" s="30">
        <f>ROUND(F14+J14, 2)</f>
        <v/>
      </c>
      <c r="N14" s="31">
        <f>F14+J14</f>
        <v/>
      </c>
      <c r="O14" s="32">
        <f>G14-B14</f>
        <v/>
      </c>
      <c r="P14" s="26" t="inlineStr"/>
    </row>
    <row r="15" ht="21" customHeight="1">
      <c r="A15" s="19" t="n">
        <v>12</v>
      </c>
      <c r="B15" s="20">
        <f>RANK(N15,$N$4:$N$73)</f>
        <v/>
      </c>
      <c r="C15" s="19" t="inlineStr">
        <is>
          <t>262100007038</t>
        </is>
      </c>
      <c r="D15" s="19" t="inlineStr">
        <is>
          <t>男</t>
        </is>
      </c>
      <c r="E15" s="21" t="n">
        <v>84</v>
      </c>
      <c r="F15" s="22">
        <f>E15*0.3</f>
        <v/>
      </c>
      <c r="G15" s="19" t="n">
        <v>19</v>
      </c>
      <c r="H15" s="19" t="n">
        <v>19</v>
      </c>
      <c r="I15" s="21" t="n">
        <v>91.87</v>
      </c>
      <c r="J15" s="22">
        <f>I15*0.7</f>
        <v/>
      </c>
      <c r="K15" s="19" t="n">
        <v>16</v>
      </c>
      <c r="L15" s="19" t="n">
        <v>15</v>
      </c>
      <c r="M15" s="23">
        <f>ROUND(F15+J15, 2)</f>
        <v/>
      </c>
      <c r="N15" s="24">
        <f>F15+J15</f>
        <v/>
      </c>
      <c r="O15" s="25">
        <f>G15-B15</f>
        <v/>
      </c>
      <c r="P15" s="19" t="inlineStr"/>
    </row>
    <row r="16" ht="21" customHeight="1">
      <c r="A16" s="26" t="n">
        <v>13</v>
      </c>
      <c r="B16" s="27">
        <f>RANK(N16,$N$4:$N$73)</f>
        <v/>
      </c>
      <c r="C16" s="26" t="inlineStr">
        <is>
          <t>262100007026</t>
        </is>
      </c>
      <c r="D16" s="26" t="inlineStr">
        <is>
          <t>男</t>
        </is>
      </c>
      <c r="E16" s="28" t="n">
        <v>79.5</v>
      </c>
      <c r="F16" s="29">
        <f>E16*0.3</f>
        <v/>
      </c>
      <c r="G16" s="26" t="n">
        <v>31</v>
      </c>
      <c r="H16" s="26" t="n">
        <v>33</v>
      </c>
      <c r="I16" s="28" t="n">
        <v>93.73</v>
      </c>
      <c r="J16" s="29">
        <f>I16*0.7</f>
        <v/>
      </c>
      <c r="K16" s="26" t="n">
        <v>10</v>
      </c>
      <c r="L16" s="26" t="n">
        <v>10</v>
      </c>
      <c r="M16" s="30">
        <f>ROUND(F16+J16, 2)</f>
        <v/>
      </c>
      <c r="N16" s="31">
        <f>F16+J16</f>
        <v/>
      </c>
      <c r="O16" s="32">
        <f>G16-B16</f>
        <v/>
      </c>
      <c r="P16" s="26" t="inlineStr"/>
    </row>
    <row r="17" ht="21" customHeight="1">
      <c r="A17" s="19" t="n">
        <v>14</v>
      </c>
      <c r="B17" s="20">
        <f>RANK(N17,$N$4:$N$73)</f>
        <v/>
      </c>
      <c r="C17" s="19" t="inlineStr">
        <is>
          <t>262100007130</t>
        </is>
      </c>
      <c r="D17" s="19" t="inlineStr">
        <is>
          <t>男</t>
        </is>
      </c>
      <c r="E17" s="21" t="n">
        <v>79</v>
      </c>
      <c r="F17" s="22">
        <f>E17*0.3</f>
        <v/>
      </c>
      <c r="G17" s="19" t="n">
        <v>34</v>
      </c>
      <c r="H17" s="19" t="n">
        <v>34</v>
      </c>
      <c r="I17" s="21" t="n">
        <v>93.63</v>
      </c>
      <c r="J17" s="22">
        <f>I17*0.7</f>
        <v/>
      </c>
      <c r="K17" s="19" t="n">
        <v>11</v>
      </c>
      <c r="L17" s="19" t="n">
        <v>54</v>
      </c>
      <c r="M17" s="23">
        <f>ROUND(F17+J17, 2)</f>
        <v/>
      </c>
      <c r="N17" s="24">
        <f>F17+J17</f>
        <v/>
      </c>
      <c r="O17" s="25">
        <f>G17-B17</f>
        <v/>
      </c>
      <c r="P17" s="19" t="inlineStr"/>
    </row>
    <row r="18" ht="21" customHeight="1">
      <c r="A18" s="26" t="n">
        <v>15</v>
      </c>
      <c r="B18" s="27">
        <f>RANK(N18,$N$4:$N$73)</f>
        <v/>
      </c>
      <c r="C18" s="26" t="inlineStr">
        <is>
          <t>262100007084</t>
        </is>
      </c>
      <c r="D18" s="26" t="inlineStr">
        <is>
          <t>男</t>
        </is>
      </c>
      <c r="E18" s="28" t="n">
        <v>84.5</v>
      </c>
      <c r="F18" s="29">
        <f>E18*0.3</f>
        <v/>
      </c>
      <c r="G18" s="26" t="n">
        <v>16</v>
      </c>
      <c r="H18" s="26" t="n">
        <v>17</v>
      </c>
      <c r="I18" s="28" t="n">
        <v>90.37</v>
      </c>
      <c r="J18" s="29">
        <f>I18*0.7</f>
        <v/>
      </c>
      <c r="K18" s="26" t="n">
        <v>20</v>
      </c>
      <c r="L18" s="26" t="n">
        <v>32</v>
      </c>
      <c r="M18" s="30">
        <f>ROUND(F18+J18, 2)</f>
        <v/>
      </c>
      <c r="N18" s="31">
        <f>F18+J18</f>
        <v/>
      </c>
      <c r="O18" s="32">
        <f>G18-B18</f>
        <v/>
      </c>
      <c r="P18" s="26" t="inlineStr"/>
    </row>
    <row r="19" ht="21" customHeight="1">
      <c r="A19" s="19" t="n">
        <v>16</v>
      </c>
      <c r="B19" s="20">
        <f>RANK(N19,$N$4:$N$73)</f>
        <v/>
      </c>
      <c r="C19" s="19" t="inlineStr">
        <is>
          <t>262100007094</t>
        </is>
      </c>
      <c r="D19" s="19" t="inlineStr">
        <is>
          <t>男</t>
        </is>
      </c>
      <c r="E19" s="21" t="n">
        <v>78.5</v>
      </c>
      <c r="F19" s="22">
        <f>E19*0.3</f>
        <v/>
      </c>
      <c r="G19" s="19" t="n">
        <v>37</v>
      </c>
      <c r="H19" s="19" t="n">
        <v>37</v>
      </c>
      <c r="I19" s="21" t="n">
        <v>92.90000000000001</v>
      </c>
      <c r="J19" s="22">
        <f>I19*0.7</f>
        <v/>
      </c>
      <c r="K19" s="19" t="n">
        <v>12</v>
      </c>
      <c r="L19" s="19" t="n">
        <v>38</v>
      </c>
      <c r="M19" s="23">
        <f>ROUND(F19+J19, 2)</f>
        <v/>
      </c>
      <c r="N19" s="24">
        <f>F19+J19</f>
        <v/>
      </c>
      <c r="O19" s="25">
        <f>G19-B19</f>
        <v/>
      </c>
      <c r="P19" s="19" t="inlineStr"/>
    </row>
    <row r="20" ht="21" customHeight="1">
      <c r="A20" s="26" t="n">
        <v>17</v>
      </c>
      <c r="B20" s="27">
        <f>RANK(N20,$N$4:$N$73)</f>
        <v/>
      </c>
      <c r="C20" s="26" t="inlineStr">
        <is>
          <t>262100007077</t>
        </is>
      </c>
      <c r="D20" s="26" t="inlineStr">
        <is>
          <t>男</t>
        </is>
      </c>
      <c r="E20" s="28" t="n">
        <v>74.5</v>
      </c>
      <c r="F20" s="29">
        <f>E20*0.3</f>
        <v/>
      </c>
      <c r="G20" s="26" t="n">
        <v>51</v>
      </c>
      <c r="H20" s="26" t="n">
        <v>51</v>
      </c>
      <c r="I20" s="28" t="n">
        <v>94.23</v>
      </c>
      <c r="J20" s="29">
        <f>I20*0.7</f>
        <v/>
      </c>
      <c r="K20" s="26" t="n">
        <v>8</v>
      </c>
      <c r="L20" s="26" t="n">
        <v>28</v>
      </c>
      <c r="M20" s="30">
        <f>ROUND(F20+J20, 2)</f>
        <v/>
      </c>
      <c r="N20" s="31">
        <f>F20+J20</f>
        <v/>
      </c>
      <c r="O20" s="32">
        <f>G20-B20</f>
        <v/>
      </c>
      <c r="P20" s="26" t="inlineStr"/>
    </row>
    <row r="21" ht="21" customHeight="1">
      <c r="A21" s="19" t="n">
        <v>18</v>
      </c>
      <c r="B21" s="20">
        <f>RANK(N21,$N$4:$N$73)</f>
        <v/>
      </c>
      <c r="C21" s="19" t="inlineStr">
        <is>
          <t>262100007005</t>
        </is>
      </c>
      <c r="D21" s="19" t="inlineStr">
        <is>
          <t>男</t>
        </is>
      </c>
      <c r="E21" s="21" t="n">
        <v>87</v>
      </c>
      <c r="F21" s="22">
        <f>E21*0.3</f>
        <v/>
      </c>
      <c r="G21" s="19" t="n">
        <v>13</v>
      </c>
      <c r="H21" s="19" t="n">
        <v>13</v>
      </c>
      <c r="I21" s="21" t="n">
        <v>87.5</v>
      </c>
      <c r="J21" s="22">
        <f>I21*0.7</f>
        <v/>
      </c>
      <c r="K21" s="19" t="n">
        <v>33</v>
      </c>
      <c r="L21" s="19" t="n">
        <v>3</v>
      </c>
      <c r="M21" s="23">
        <f>ROUND(F21+J21, 2)</f>
        <v/>
      </c>
      <c r="N21" s="24">
        <f>F21+J21</f>
        <v/>
      </c>
      <c r="O21" s="25">
        <f>G21-B21</f>
        <v/>
      </c>
      <c r="P21" s="19" t="inlineStr"/>
    </row>
    <row r="22" ht="21" customHeight="1">
      <c r="A22" s="26" t="n">
        <v>19</v>
      </c>
      <c r="B22" s="27">
        <f>RANK(N22,$N$4:$N$73)</f>
        <v/>
      </c>
      <c r="C22" s="26" t="inlineStr">
        <is>
          <t>262100007110</t>
        </is>
      </c>
      <c r="D22" s="26" t="inlineStr">
        <is>
          <t>女</t>
        </is>
      </c>
      <c r="E22" s="28" t="n">
        <v>83</v>
      </c>
      <c r="F22" s="29">
        <f>E22*0.3</f>
        <v/>
      </c>
      <c r="G22" s="26" t="n">
        <v>20</v>
      </c>
      <c r="H22" s="26" t="n">
        <v>21</v>
      </c>
      <c r="I22" s="28" t="n">
        <v>89.17</v>
      </c>
      <c r="J22" s="29">
        <f>I22*0.7</f>
        <v/>
      </c>
      <c r="K22" s="26" t="n">
        <v>24</v>
      </c>
      <c r="L22" s="26" t="n">
        <v>44</v>
      </c>
      <c r="M22" s="30">
        <f>ROUND(F22+J22, 2)</f>
        <v/>
      </c>
      <c r="N22" s="31">
        <f>F22+J22</f>
        <v/>
      </c>
      <c r="O22" s="32">
        <f>G22-B22</f>
        <v/>
      </c>
      <c r="P22" s="26" t="inlineStr"/>
    </row>
    <row r="23" ht="21" customHeight="1">
      <c r="A23" s="19" t="n">
        <v>20</v>
      </c>
      <c r="B23" s="20">
        <f>RANK(N23,$N$4:$N$73)</f>
        <v/>
      </c>
      <c r="C23" s="19" t="inlineStr">
        <is>
          <t>262100007157</t>
        </is>
      </c>
      <c r="D23" s="19" t="inlineStr">
        <is>
          <t>男</t>
        </is>
      </c>
      <c r="E23" s="21" t="n">
        <v>92.5</v>
      </c>
      <c r="F23" s="22">
        <f>E23*0.3</f>
        <v/>
      </c>
      <c r="G23" s="19" t="n">
        <v>5</v>
      </c>
      <c r="H23" s="19" t="n">
        <v>5</v>
      </c>
      <c r="I23" s="21" t="n">
        <v>84.63</v>
      </c>
      <c r="J23" s="22">
        <f>I23*0.7</f>
        <v/>
      </c>
      <c r="K23" s="19" t="n">
        <v>36</v>
      </c>
      <c r="L23" s="19" t="n">
        <v>63</v>
      </c>
      <c r="M23" s="23">
        <f>ROUND(F23+J23, 2)</f>
        <v/>
      </c>
      <c r="N23" s="24">
        <f>F23+J23</f>
        <v/>
      </c>
      <c r="O23" s="25">
        <f>G23-B23</f>
        <v/>
      </c>
      <c r="P23" s="19" t="inlineStr"/>
    </row>
    <row r="24" ht="21" customHeight="1">
      <c r="A24" s="26" t="n">
        <v>21</v>
      </c>
      <c r="B24" s="27">
        <f>RANK(N24,$N$4:$N$73)</f>
        <v/>
      </c>
      <c r="C24" s="26" t="inlineStr">
        <is>
          <t>262100007098</t>
        </is>
      </c>
      <c r="D24" s="26" t="inlineStr">
        <is>
          <t>男</t>
        </is>
      </c>
      <c r="E24" s="28" t="n">
        <v>88</v>
      </c>
      <c r="F24" s="29">
        <f>E24*0.3</f>
        <v/>
      </c>
      <c r="G24" s="26" t="n">
        <v>10</v>
      </c>
      <c r="H24" s="26" t="n">
        <v>10</v>
      </c>
      <c r="I24" s="28" t="n">
        <v>85.90000000000001</v>
      </c>
      <c r="J24" s="29">
        <f>I24*0.7</f>
        <v/>
      </c>
      <c r="K24" s="26" t="n">
        <v>35</v>
      </c>
      <c r="L24" s="26" t="n">
        <v>41</v>
      </c>
      <c r="M24" s="30">
        <f>ROUND(F24+J24, 2)</f>
        <v/>
      </c>
      <c r="N24" s="31">
        <f>F24+J24</f>
        <v/>
      </c>
      <c r="O24" s="32">
        <f>G24-B24</f>
        <v/>
      </c>
      <c r="P24" s="26" t="inlineStr"/>
    </row>
    <row r="25" ht="21" customHeight="1">
      <c r="A25" s="19" t="n">
        <v>22</v>
      </c>
      <c r="B25" s="20">
        <f>RANK(N25,$N$4:$N$73)</f>
        <v/>
      </c>
      <c r="C25" s="19" t="inlineStr">
        <is>
          <t>262100007037</t>
        </is>
      </c>
      <c r="D25" s="19" t="inlineStr">
        <is>
          <t>男</t>
        </is>
      </c>
      <c r="E25" s="21" t="n">
        <v>81</v>
      </c>
      <c r="F25" s="22">
        <f>E25*0.3</f>
        <v/>
      </c>
      <c r="G25" s="19" t="n">
        <v>25</v>
      </c>
      <c r="H25" s="19" t="n">
        <v>26</v>
      </c>
      <c r="I25" s="21" t="n">
        <v>88.56999999999999</v>
      </c>
      <c r="J25" s="22">
        <f>I25*0.7</f>
        <v/>
      </c>
      <c r="K25" s="19" t="n">
        <v>26</v>
      </c>
      <c r="L25" s="19" t="n">
        <v>14</v>
      </c>
      <c r="M25" s="23">
        <f>ROUND(F25+J25, 2)</f>
        <v/>
      </c>
      <c r="N25" s="24">
        <f>F25+J25</f>
        <v/>
      </c>
      <c r="O25" s="25">
        <f>G25-B25</f>
        <v/>
      </c>
      <c r="P25" s="19" t="inlineStr"/>
    </row>
    <row r="26" ht="21" customHeight="1">
      <c r="A26" s="26" t="n">
        <v>23</v>
      </c>
      <c r="B26" s="27">
        <f>RANK(N26,$N$4:$N$73)</f>
        <v/>
      </c>
      <c r="C26" s="26" t="inlineStr">
        <is>
          <t>262100007099</t>
        </is>
      </c>
      <c r="D26" s="26" t="inlineStr">
        <is>
          <t>男</t>
        </is>
      </c>
      <c r="E26" s="28" t="n">
        <v>79</v>
      </c>
      <c r="F26" s="29">
        <f>E26*0.3</f>
        <v/>
      </c>
      <c r="G26" s="26" t="n">
        <v>34</v>
      </c>
      <c r="H26" s="26" t="n">
        <v>35</v>
      </c>
      <c r="I26" s="28" t="n">
        <v>88.56999999999999</v>
      </c>
      <c r="J26" s="29">
        <f>I26*0.7</f>
        <v/>
      </c>
      <c r="K26" s="26" t="n">
        <v>26</v>
      </c>
      <c r="L26" s="26" t="n">
        <v>42</v>
      </c>
      <c r="M26" s="30">
        <f>ROUND(F26+J26, 2)</f>
        <v/>
      </c>
      <c r="N26" s="31">
        <f>F26+J26</f>
        <v/>
      </c>
      <c r="O26" s="32">
        <f>G26-B26</f>
        <v/>
      </c>
      <c r="P26" s="26" t="inlineStr"/>
    </row>
    <row r="27" ht="21" customHeight="1">
      <c r="A27" s="19" t="n">
        <v>24</v>
      </c>
      <c r="B27" s="20">
        <f>RANK(N27,$N$4:$N$73)</f>
        <v/>
      </c>
      <c r="C27" s="19" t="inlineStr">
        <is>
          <t>262100007088</t>
        </is>
      </c>
      <c r="D27" s="19" t="inlineStr">
        <is>
          <t>女</t>
        </is>
      </c>
      <c r="E27" s="21" t="n">
        <v>77</v>
      </c>
      <c r="F27" s="22">
        <f>E27*0.3</f>
        <v/>
      </c>
      <c r="G27" s="19" t="n">
        <v>43</v>
      </c>
      <c r="H27" s="19" t="n">
        <v>43</v>
      </c>
      <c r="I27" s="21" t="n">
        <v>89.37</v>
      </c>
      <c r="J27" s="22">
        <f>I27*0.7</f>
        <v/>
      </c>
      <c r="K27" s="19" t="n">
        <v>23</v>
      </c>
      <c r="L27" s="19" t="n">
        <v>35</v>
      </c>
      <c r="M27" s="23">
        <f>ROUND(F27+J27, 2)</f>
        <v/>
      </c>
      <c r="N27" s="24">
        <f>F27+J27</f>
        <v/>
      </c>
      <c r="O27" s="25">
        <f>G27-B27</f>
        <v/>
      </c>
      <c r="P27" s="19" t="inlineStr"/>
    </row>
    <row r="28" ht="21" customHeight="1">
      <c r="A28" s="26" t="n">
        <v>25</v>
      </c>
      <c r="B28" s="27">
        <f>RANK(N28,$N$4:$N$73)</f>
        <v/>
      </c>
      <c r="C28" s="26" t="inlineStr">
        <is>
          <t>262100007078</t>
        </is>
      </c>
      <c r="D28" s="26" t="inlineStr">
        <is>
          <t>男</t>
        </is>
      </c>
      <c r="E28" s="28" t="n">
        <v>74.5</v>
      </c>
      <c r="F28" s="29">
        <f>E28*0.3</f>
        <v/>
      </c>
      <c r="G28" s="26" t="n">
        <v>51</v>
      </c>
      <c r="H28" s="26" t="n">
        <v>52</v>
      </c>
      <c r="I28" s="28" t="n">
        <v>90.43000000000001</v>
      </c>
      <c r="J28" s="29">
        <f>I28*0.7</f>
        <v/>
      </c>
      <c r="K28" s="26" t="n">
        <v>19</v>
      </c>
      <c r="L28" s="26" t="n">
        <v>29</v>
      </c>
      <c r="M28" s="30">
        <f>ROUND(F28+J28, 2)</f>
        <v/>
      </c>
      <c r="N28" s="31">
        <f>F28+J28</f>
        <v/>
      </c>
      <c r="O28" s="32">
        <f>G28-B28</f>
        <v/>
      </c>
      <c r="P28" s="26" t="inlineStr"/>
    </row>
    <row r="29" ht="21" customHeight="1">
      <c r="A29" s="19" t="n">
        <v>26</v>
      </c>
      <c r="B29" s="20">
        <f>RANK(N29,$N$4:$N$73)</f>
        <v/>
      </c>
      <c r="C29" s="19" t="inlineStr">
        <is>
          <t>262100007087</t>
        </is>
      </c>
      <c r="D29" s="19" t="inlineStr">
        <is>
          <t>男</t>
        </is>
      </c>
      <c r="E29" s="21" t="n">
        <v>81</v>
      </c>
      <c r="F29" s="22">
        <f>E29*0.3</f>
        <v/>
      </c>
      <c r="G29" s="19" t="n">
        <v>25</v>
      </c>
      <c r="H29" s="19" t="n">
        <v>25</v>
      </c>
      <c r="I29" s="21" t="n">
        <v>87.63</v>
      </c>
      <c r="J29" s="22">
        <f>I29*0.7</f>
        <v/>
      </c>
      <c r="K29" s="19" t="n">
        <v>31</v>
      </c>
      <c r="L29" s="19" t="n">
        <v>34</v>
      </c>
      <c r="M29" s="23">
        <f>ROUND(F29+J29, 2)</f>
        <v/>
      </c>
      <c r="N29" s="24">
        <f>F29+J29</f>
        <v/>
      </c>
      <c r="O29" s="25">
        <f>G29-B29</f>
        <v/>
      </c>
      <c r="P29" s="19" t="inlineStr"/>
    </row>
    <row r="30" ht="21" customHeight="1">
      <c r="A30" s="26" t="n">
        <v>27</v>
      </c>
      <c r="B30" s="27">
        <f>RANK(N30,$N$4:$N$73)</f>
        <v/>
      </c>
      <c r="C30" s="26" t="inlineStr">
        <is>
          <t>262100007134</t>
        </is>
      </c>
      <c r="D30" s="26" t="inlineStr">
        <is>
          <t>男</t>
        </is>
      </c>
      <c r="E30" s="28" t="n">
        <v>79</v>
      </c>
      <c r="F30" s="29">
        <f>E30*0.3</f>
        <v/>
      </c>
      <c r="G30" s="26" t="n">
        <v>34</v>
      </c>
      <c r="H30" s="26" t="n">
        <v>36</v>
      </c>
      <c r="I30" s="28" t="n">
        <v>87.90000000000001</v>
      </c>
      <c r="J30" s="29">
        <f>I30*0.7</f>
        <v/>
      </c>
      <c r="K30" s="26" t="n">
        <v>30</v>
      </c>
      <c r="L30" s="26" t="n">
        <v>55</v>
      </c>
      <c r="M30" s="30">
        <f>ROUND(F30+J30, 2)</f>
        <v/>
      </c>
      <c r="N30" s="31">
        <f>F30+J30</f>
        <v/>
      </c>
      <c r="O30" s="32">
        <f>G30-B30</f>
        <v/>
      </c>
      <c r="P30" s="26" t="inlineStr"/>
    </row>
    <row r="31" ht="21" customHeight="1">
      <c r="A31" s="19" t="n">
        <v>28</v>
      </c>
      <c r="B31" s="20">
        <f>RANK(N31,$N$4:$N$73)</f>
        <v/>
      </c>
      <c r="C31" s="19" t="inlineStr">
        <is>
          <t>262100007096</t>
        </is>
      </c>
      <c r="D31" s="19" t="inlineStr">
        <is>
          <t>男</t>
        </is>
      </c>
      <c r="E31" s="21" t="n">
        <v>75</v>
      </c>
      <c r="F31" s="22">
        <f>E31*0.3</f>
        <v/>
      </c>
      <c r="G31" s="19" t="n">
        <v>49</v>
      </c>
      <c r="H31" s="19" t="n">
        <v>50</v>
      </c>
      <c r="I31" s="21" t="n">
        <v>89.43000000000001</v>
      </c>
      <c r="J31" s="22">
        <f>I31*0.7</f>
        <v/>
      </c>
      <c r="K31" s="19" t="n">
        <v>22</v>
      </c>
      <c r="L31" s="19" t="n">
        <v>39</v>
      </c>
      <c r="M31" s="23">
        <f>ROUND(F31+J31, 2)</f>
        <v/>
      </c>
      <c r="N31" s="24">
        <f>F31+J31</f>
        <v/>
      </c>
      <c r="O31" s="25">
        <f>G31-B31</f>
        <v/>
      </c>
      <c r="P31" s="19" t="inlineStr"/>
    </row>
    <row r="32" ht="21" customHeight="1">
      <c r="A32" s="26" t="n">
        <v>29</v>
      </c>
      <c r="B32" s="27">
        <f>RANK(N32,$N$4:$N$73)</f>
        <v/>
      </c>
      <c r="C32" s="26" t="inlineStr">
        <is>
          <t>262100007129</t>
        </is>
      </c>
      <c r="D32" s="26" t="inlineStr">
        <is>
          <t>男</t>
        </is>
      </c>
      <c r="E32" s="28" t="n">
        <v>67.5</v>
      </c>
      <c r="F32" s="29">
        <f>E32*0.3</f>
        <v/>
      </c>
      <c r="G32" s="26" t="n">
        <v>61</v>
      </c>
      <c r="H32" s="26" t="n">
        <v>63</v>
      </c>
      <c r="I32" s="28" t="n">
        <v>92.63</v>
      </c>
      <c r="J32" s="29">
        <f>I32*0.7</f>
        <v/>
      </c>
      <c r="K32" s="26" t="n">
        <v>14</v>
      </c>
      <c r="L32" s="26" t="n">
        <v>53</v>
      </c>
      <c r="M32" s="30">
        <f>ROUND(F32+J32, 2)</f>
        <v/>
      </c>
      <c r="N32" s="31">
        <f>F32+J32</f>
        <v/>
      </c>
      <c r="O32" s="32">
        <f>G32-B32</f>
        <v/>
      </c>
      <c r="P32" s="26" t="inlineStr"/>
    </row>
    <row r="33" ht="21" customHeight="1">
      <c r="A33" s="19" t="n">
        <v>30</v>
      </c>
      <c r="B33" s="20">
        <f>RANK(N33,$N$4:$N$73)</f>
        <v/>
      </c>
      <c r="C33" s="19" t="inlineStr">
        <is>
          <t>262100007160</t>
        </is>
      </c>
      <c r="D33" s="19" t="inlineStr">
        <is>
          <t>男</t>
        </is>
      </c>
      <c r="E33" s="21" t="n">
        <v>76</v>
      </c>
      <c r="F33" s="22">
        <f>E33*0.3</f>
        <v/>
      </c>
      <c r="G33" s="19" t="n">
        <v>45</v>
      </c>
      <c r="H33" s="19" t="n">
        <v>47</v>
      </c>
      <c r="I33" s="21" t="n">
        <v>88.77</v>
      </c>
      <c r="J33" s="22">
        <f>I33*0.7</f>
        <v/>
      </c>
      <c r="K33" s="19" t="n">
        <v>25</v>
      </c>
      <c r="L33" s="19" t="n">
        <v>65</v>
      </c>
      <c r="M33" s="23">
        <f>ROUND(F33+J33, 2)</f>
        <v/>
      </c>
      <c r="N33" s="24">
        <f>F33+J33</f>
        <v/>
      </c>
      <c r="O33" s="25">
        <f>G33-B33</f>
        <v/>
      </c>
      <c r="P33" s="19" t="inlineStr"/>
    </row>
    <row r="34" ht="21" customHeight="1">
      <c r="A34" s="26" t="n">
        <v>31</v>
      </c>
      <c r="B34" s="27">
        <f>RANK(N34,$N$4:$N$73)</f>
        <v/>
      </c>
      <c r="C34" s="26" t="inlineStr">
        <is>
          <t>262100007120</t>
        </is>
      </c>
      <c r="D34" s="26" t="inlineStr">
        <is>
          <t>男</t>
        </is>
      </c>
      <c r="E34" s="28" t="n">
        <v>67</v>
      </c>
      <c r="F34" s="29">
        <f>E34*0.3</f>
        <v/>
      </c>
      <c r="G34" s="26" t="n">
        <v>64</v>
      </c>
      <c r="H34" s="26" t="n">
        <v>64</v>
      </c>
      <c r="I34" s="28" t="n">
        <v>92.3</v>
      </c>
      <c r="J34" s="29">
        <f>I34*0.7</f>
        <v/>
      </c>
      <c r="K34" s="26" t="n">
        <v>15</v>
      </c>
      <c r="L34" s="26" t="n">
        <v>48</v>
      </c>
      <c r="M34" s="30">
        <f>ROUND(F34+J34, 2)</f>
        <v/>
      </c>
      <c r="N34" s="31">
        <f>F34+J34</f>
        <v/>
      </c>
      <c r="O34" s="32">
        <f>G34-B34</f>
        <v/>
      </c>
      <c r="P34" s="26" t="inlineStr"/>
    </row>
    <row r="35" ht="21" customHeight="1">
      <c r="A35" s="19" t="n">
        <v>32</v>
      </c>
      <c r="B35" s="20">
        <f>RANK(N35,$N$4:$N$73)</f>
        <v/>
      </c>
      <c r="C35" s="19" t="inlineStr">
        <is>
          <t>262100007187</t>
        </is>
      </c>
      <c r="D35" s="19" t="inlineStr">
        <is>
          <t>男</t>
        </is>
      </c>
      <c r="E35" s="21" t="n">
        <v>76</v>
      </c>
      <c r="F35" s="22">
        <f>E35*0.3</f>
        <v/>
      </c>
      <c r="G35" s="19" t="n">
        <v>45</v>
      </c>
      <c r="H35" s="19" t="n">
        <v>46</v>
      </c>
      <c r="I35" s="21" t="n">
        <v>88.13</v>
      </c>
      <c r="J35" s="22">
        <f>I35*0.7</f>
        <v/>
      </c>
      <c r="K35" s="19" t="n">
        <v>29</v>
      </c>
      <c r="L35" s="19" t="n">
        <v>70</v>
      </c>
      <c r="M35" s="23">
        <f>ROUND(F35+J35, 2)</f>
        <v/>
      </c>
      <c r="N35" s="24">
        <f>F35+J35</f>
        <v/>
      </c>
      <c r="O35" s="25">
        <f>G35-B35</f>
        <v/>
      </c>
      <c r="P35" s="19" t="inlineStr"/>
    </row>
    <row r="36" ht="21" customHeight="1">
      <c r="A36" s="26" t="n">
        <v>33</v>
      </c>
      <c r="B36" s="27">
        <f>RANK(N36,$N$4:$N$73)</f>
        <v/>
      </c>
      <c r="C36" s="26" t="inlineStr">
        <is>
          <t>262100007151</t>
        </is>
      </c>
      <c r="D36" s="26" t="inlineStr">
        <is>
          <t>男</t>
        </is>
      </c>
      <c r="E36" s="28" t="n">
        <v>85.5</v>
      </c>
      <c r="F36" s="29">
        <f>E36*0.3</f>
        <v/>
      </c>
      <c r="G36" s="26" t="n">
        <v>15</v>
      </c>
      <c r="H36" s="26" t="n">
        <v>15</v>
      </c>
      <c r="I36" s="28" t="n">
        <v>83.3</v>
      </c>
      <c r="J36" s="29">
        <f>I36*0.7</f>
        <v/>
      </c>
      <c r="K36" s="26" t="n">
        <v>39</v>
      </c>
      <c r="L36" s="26" t="n">
        <v>59</v>
      </c>
      <c r="M36" s="30">
        <f>ROUND(F36+J36, 2)</f>
        <v/>
      </c>
      <c r="N36" s="31">
        <f>F36+J36</f>
        <v/>
      </c>
      <c r="O36" s="32">
        <f>G36-B36</f>
        <v/>
      </c>
      <c r="P36" s="26" t="inlineStr"/>
    </row>
    <row r="37" ht="21" customHeight="1">
      <c r="A37" s="19" t="n">
        <v>34</v>
      </c>
      <c r="B37" s="20">
        <f>RANK(N37,$N$4:$N$73)</f>
        <v/>
      </c>
      <c r="C37" s="19" t="inlineStr">
        <is>
          <t>262100007071</t>
        </is>
      </c>
      <c r="D37" s="19" t="inlineStr">
        <is>
          <t>女</t>
        </is>
      </c>
      <c r="E37" s="21" t="n">
        <v>74</v>
      </c>
      <c r="F37" s="22">
        <f>E37*0.3</f>
        <v/>
      </c>
      <c r="G37" s="19" t="n">
        <v>53</v>
      </c>
      <c r="H37" s="19" t="n">
        <v>53</v>
      </c>
      <c r="I37" s="21" t="n">
        <v>87.56999999999999</v>
      </c>
      <c r="J37" s="22">
        <f>I37*0.7</f>
        <v/>
      </c>
      <c r="K37" s="19" t="n">
        <v>32</v>
      </c>
      <c r="L37" s="19" t="n">
        <v>26</v>
      </c>
      <c r="M37" s="23">
        <f>ROUND(F37+J37, 2)</f>
        <v/>
      </c>
      <c r="N37" s="24">
        <f>F37+J37</f>
        <v/>
      </c>
      <c r="O37" s="25">
        <f>G37-B37</f>
        <v/>
      </c>
      <c r="P37" s="19" t="inlineStr"/>
    </row>
    <row r="38" ht="21" customHeight="1">
      <c r="A38" s="26" t="n">
        <v>35</v>
      </c>
      <c r="B38" s="27">
        <f>RANK(N38,$N$4:$N$73)</f>
        <v/>
      </c>
      <c r="C38" s="26" t="inlineStr">
        <is>
          <t>262100007056</t>
        </is>
      </c>
      <c r="D38" s="26" t="inlineStr">
        <is>
          <t>男</t>
        </is>
      </c>
      <c r="E38" s="28" t="n">
        <v>87.5</v>
      </c>
      <c r="F38" s="29">
        <f>E38*0.3</f>
        <v/>
      </c>
      <c r="G38" s="26" t="n">
        <v>11</v>
      </c>
      <c r="H38" s="26" t="n">
        <v>12</v>
      </c>
      <c r="I38" s="28" t="n">
        <v>81.3</v>
      </c>
      <c r="J38" s="29">
        <f>I38*0.7</f>
        <v/>
      </c>
      <c r="K38" s="26" t="n">
        <v>41</v>
      </c>
      <c r="L38" s="26" t="n">
        <v>20</v>
      </c>
      <c r="M38" s="30">
        <f>ROUND(F38+J38, 2)</f>
        <v/>
      </c>
      <c r="N38" s="31">
        <f>F38+J38</f>
        <v/>
      </c>
      <c r="O38" s="32">
        <f>G38-B38</f>
        <v/>
      </c>
      <c r="P38" s="26" t="inlineStr"/>
    </row>
    <row r="39" ht="21" customHeight="1">
      <c r="A39" s="19" t="n">
        <v>36</v>
      </c>
      <c r="B39" s="20">
        <f>RANK(N39,$N$4:$N$73)</f>
        <v/>
      </c>
      <c r="C39" s="19" t="inlineStr">
        <is>
          <t>262100007069</t>
        </is>
      </c>
      <c r="D39" s="19" t="inlineStr">
        <is>
          <t>男</t>
        </is>
      </c>
      <c r="E39" s="21" t="n">
        <v>65</v>
      </c>
      <c r="F39" s="22">
        <f>E39*0.3</f>
        <v/>
      </c>
      <c r="G39" s="19" t="n">
        <v>67</v>
      </c>
      <c r="H39" s="19" t="n">
        <v>69</v>
      </c>
      <c r="I39" s="21" t="n">
        <v>89.97</v>
      </c>
      <c r="J39" s="22">
        <f>I39*0.7</f>
        <v/>
      </c>
      <c r="K39" s="19" t="n">
        <v>21</v>
      </c>
      <c r="L39" s="19" t="n">
        <v>25</v>
      </c>
      <c r="M39" s="23">
        <f>ROUND(F39+J39, 2)</f>
        <v/>
      </c>
      <c r="N39" s="24">
        <f>F39+J39</f>
        <v/>
      </c>
      <c r="O39" s="25">
        <f>G39-B39</f>
        <v/>
      </c>
      <c r="P39" s="19" t="inlineStr"/>
    </row>
    <row r="40" ht="21" customHeight="1">
      <c r="A40" s="26" t="n">
        <v>37</v>
      </c>
      <c r="B40" s="27">
        <f>RANK(N40,$N$4:$N$73)</f>
        <v/>
      </c>
      <c r="C40" s="26" t="inlineStr">
        <is>
          <t>262100007181</t>
        </is>
      </c>
      <c r="D40" s="26" t="inlineStr">
        <is>
          <t>男</t>
        </is>
      </c>
      <c r="E40" s="28" t="n">
        <v>71</v>
      </c>
      <c r="F40" s="29">
        <f>E40*0.3</f>
        <v/>
      </c>
      <c r="G40" s="26" t="n">
        <v>58</v>
      </c>
      <c r="H40" s="26" t="n">
        <v>59</v>
      </c>
      <c r="I40" s="28" t="n">
        <v>87.3</v>
      </c>
      <c r="J40" s="29">
        <f>I40*0.7</f>
        <v/>
      </c>
      <c r="K40" s="26" t="n">
        <v>34</v>
      </c>
      <c r="L40" s="26" t="n">
        <v>67</v>
      </c>
      <c r="M40" s="30">
        <f>ROUND(F40+J40, 2)</f>
        <v/>
      </c>
      <c r="N40" s="31">
        <f>F40+J40</f>
        <v/>
      </c>
      <c r="O40" s="32">
        <f>G40-B40</f>
        <v/>
      </c>
      <c r="P40" s="26" t="inlineStr"/>
    </row>
    <row r="41" ht="21" customHeight="1">
      <c r="A41" s="19" t="n">
        <v>38</v>
      </c>
      <c r="B41" s="20">
        <f>RANK(N41,$N$4:$N$73)</f>
        <v/>
      </c>
      <c r="C41" s="19" t="inlineStr">
        <is>
          <t>262100007085</t>
        </is>
      </c>
      <c r="D41" s="19" t="inlineStr">
        <is>
          <t>男</t>
        </is>
      </c>
      <c r="E41" s="21" t="n">
        <v>78.5</v>
      </c>
      <c r="F41" s="22">
        <f>E41*0.3</f>
        <v/>
      </c>
      <c r="G41" s="19" t="n">
        <v>37</v>
      </c>
      <c r="H41" s="19" t="n">
        <v>40</v>
      </c>
      <c r="I41" s="21" t="n">
        <v>83.97</v>
      </c>
      <c r="J41" s="22">
        <f>I41*0.7</f>
        <v/>
      </c>
      <c r="K41" s="19" t="n">
        <v>37</v>
      </c>
      <c r="L41" s="19" t="n">
        <v>33</v>
      </c>
      <c r="M41" s="23">
        <f>ROUND(F41+J41, 2)</f>
        <v/>
      </c>
      <c r="N41" s="24">
        <f>F41+J41</f>
        <v/>
      </c>
      <c r="O41" s="25">
        <f>G41-B41</f>
        <v/>
      </c>
      <c r="P41" s="19" t="inlineStr"/>
    </row>
    <row r="42" ht="21" customHeight="1">
      <c r="A42" s="26" t="n">
        <v>39</v>
      </c>
      <c r="B42" s="27">
        <f>RANK(N42,$N$4:$N$73)</f>
        <v/>
      </c>
      <c r="C42" s="26" t="inlineStr">
        <is>
          <t>262100007124</t>
        </is>
      </c>
      <c r="D42" s="26" t="inlineStr">
        <is>
          <t>男</t>
        </is>
      </c>
      <c r="E42" s="28" t="n">
        <v>65</v>
      </c>
      <c r="F42" s="29">
        <f>E42*0.3</f>
        <v/>
      </c>
      <c r="G42" s="26" t="n">
        <v>67</v>
      </c>
      <c r="H42" s="26" t="n">
        <v>67</v>
      </c>
      <c r="I42" s="28" t="n">
        <v>88.27</v>
      </c>
      <c r="J42" s="29">
        <f>I42*0.7</f>
        <v/>
      </c>
      <c r="K42" s="26" t="n">
        <v>28</v>
      </c>
      <c r="L42" s="26" t="n">
        <v>50</v>
      </c>
      <c r="M42" s="30">
        <f>ROUND(F42+J42, 2)</f>
        <v/>
      </c>
      <c r="N42" s="31">
        <f>F42+J42</f>
        <v/>
      </c>
      <c r="O42" s="32">
        <f>G42-B42</f>
        <v/>
      </c>
      <c r="P42" s="26" t="inlineStr"/>
    </row>
    <row r="43" ht="21" customHeight="1">
      <c r="A43" s="19" t="n">
        <v>40</v>
      </c>
      <c r="B43" s="20">
        <f>RANK(N43,$N$4:$N$73)</f>
        <v/>
      </c>
      <c r="C43" s="19" t="inlineStr">
        <is>
          <t>262100007051</t>
        </is>
      </c>
      <c r="D43" s="19" t="inlineStr">
        <is>
          <t>男</t>
        </is>
      </c>
      <c r="E43" s="21" t="n">
        <v>78.5</v>
      </c>
      <c r="F43" s="22">
        <f>E43*0.3</f>
        <v/>
      </c>
      <c r="G43" s="19" t="n">
        <v>37</v>
      </c>
      <c r="H43" s="19" t="n">
        <v>39</v>
      </c>
      <c r="I43" s="21" t="n">
        <v>82.03</v>
      </c>
      <c r="J43" s="22">
        <f>I43*0.7</f>
        <v/>
      </c>
      <c r="K43" s="19" t="n">
        <v>40</v>
      </c>
      <c r="L43" s="19" t="n">
        <v>19</v>
      </c>
      <c r="M43" s="23">
        <f>ROUND(F43+J43, 2)</f>
        <v/>
      </c>
      <c r="N43" s="24">
        <f>F43+J43</f>
        <v/>
      </c>
      <c r="O43" s="25">
        <f>G43-B43</f>
        <v/>
      </c>
      <c r="P43" s="19" t="inlineStr"/>
    </row>
    <row r="44" ht="21" customHeight="1">
      <c r="A44" s="26" t="n">
        <v>41</v>
      </c>
      <c r="B44" s="27">
        <f>RANK(N44,$N$4:$N$73)</f>
        <v/>
      </c>
      <c r="C44" s="26" t="inlineStr">
        <is>
          <t>262100007154</t>
        </is>
      </c>
      <c r="D44" s="26" t="inlineStr">
        <is>
          <t>男</t>
        </is>
      </c>
      <c r="E44" s="28" t="n">
        <v>86.5</v>
      </c>
      <c r="F44" s="29">
        <f>E44*0.3</f>
        <v/>
      </c>
      <c r="G44" s="26" t="n">
        <v>14</v>
      </c>
      <c r="H44" s="26" t="n">
        <v>14</v>
      </c>
      <c r="I44" s="28" t="n">
        <v>77.90000000000001</v>
      </c>
      <c r="J44" s="29">
        <f>I44*0.7</f>
        <v/>
      </c>
      <c r="K44" s="26" t="n">
        <v>44</v>
      </c>
      <c r="L44" s="26" t="n">
        <v>61</v>
      </c>
      <c r="M44" s="30">
        <f>ROUND(F44+J44, 2)</f>
        <v/>
      </c>
      <c r="N44" s="31">
        <f>F44+J44</f>
        <v/>
      </c>
      <c r="O44" s="32">
        <f>G44-B44</f>
        <v/>
      </c>
      <c r="P44" s="26" t="inlineStr"/>
    </row>
    <row r="45" ht="21" customHeight="1">
      <c r="A45" s="19" t="n">
        <v>42</v>
      </c>
      <c r="B45" s="20">
        <f>RANK(N45,$N$4:$N$73)</f>
        <v/>
      </c>
      <c r="C45" s="19" t="inlineStr">
        <is>
          <t>262100007003</t>
        </is>
      </c>
      <c r="D45" s="19" t="inlineStr">
        <is>
          <t>男</t>
        </is>
      </c>
      <c r="E45" s="21" t="n">
        <v>75</v>
      </c>
      <c r="F45" s="22">
        <f>E45*0.3</f>
        <v/>
      </c>
      <c r="G45" s="19" t="n">
        <v>49</v>
      </c>
      <c r="H45" s="19" t="n">
        <v>49</v>
      </c>
      <c r="I45" s="21" t="n">
        <v>80.37</v>
      </c>
      <c r="J45" s="22">
        <f>I45*0.7</f>
        <v/>
      </c>
      <c r="K45" s="19" t="n">
        <v>43</v>
      </c>
      <c r="L45" s="19" t="n">
        <v>2</v>
      </c>
      <c r="M45" s="23">
        <f>ROUND(F45+J45, 2)</f>
        <v/>
      </c>
      <c r="N45" s="24">
        <f>F45+J45</f>
        <v/>
      </c>
      <c r="O45" s="25">
        <f>G45-B45</f>
        <v/>
      </c>
      <c r="P45" s="19" t="inlineStr"/>
    </row>
    <row r="46" ht="21" customHeight="1">
      <c r="A46" s="26" t="n">
        <v>43</v>
      </c>
      <c r="B46" s="27">
        <f>RANK(N46,$N$4:$N$73)</f>
        <v/>
      </c>
      <c r="C46" s="26" t="inlineStr">
        <is>
          <t>262100007067</t>
        </is>
      </c>
      <c r="D46" s="26" t="inlineStr">
        <is>
          <t>男</t>
        </is>
      </c>
      <c r="E46" s="28" t="n">
        <v>66</v>
      </c>
      <c r="F46" s="29">
        <f>E46*0.3</f>
        <v/>
      </c>
      <c r="G46" s="26" t="n">
        <v>65</v>
      </c>
      <c r="H46" s="26" t="n">
        <v>65</v>
      </c>
      <c r="I46" s="28" t="n">
        <v>83.77</v>
      </c>
      <c r="J46" s="29">
        <f>I46*0.7</f>
        <v/>
      </c>
      <c r="K46" s="26" t="n">
        <v>38</v>
      </c>
      <c r="L46" s="26" t="n">
        <v>24</v>
      </c>
      <c r="M46" s="30">
        <f>ROUND(F46+J46, 2)</f>
        <v/>
      </c>
      <c r="N46" s="31">
        <f>F46+J46</f>
        <v/>
      </c>
      <c r="O46" s="32">
        <f>G46-B46</f>
        <v/>
      </c>
      <c r="P46" s="26" t="inlineStr"/>
    </row>
    <row r="47" ht="21" customHeight="1">
      <c r="A47" s="19" t="n">
        <v>44</v>
      </c>
      <c r="B47" s="20">
        <f>RANK(N47,$N$4:$N$73)</f>
        <v/>
      </c>
      <c r="C47" s="19" t="inlineStr">
        <is>
          <t>262100007079</t>
        </is>
      </c>
      <c r="D47" s="19" t="inlineStr">
        <is>
          <t>男</t>
        </is>
      </c>
      <c r="E47" s="21" t="n">
        <v>71</v>
      </c>
      <c r="F47" s="22">
        <f>E47*0.3</f>
        <v/>
      </c>
      <c r="G47" s="19" t="n">
        <v>58</v>
      </c>
      <c r="H47" s="19" t="n">
        <v>58</v>
      </c>
      <c r="I47" s="21" t="n">
        <v>81.27</v>
      </c>
      <c r="J47" s="22">
        <f>I47*0.7</f>
        <v/>
      </c>
      <c r="K47" s="19" t="n">
        <v>42</v>
      </c>
      <c r="L47" s="19" t="n">
        <v>30</v>
      </c>
      <c r="M47" s="23">
        <f>ROUND(F47+J47, 2)</f>
        <v/>
      </c>
      <c r="N47" s="24">
        <f>F47+J47</f>
        <v/>
      </c>
      <c r="O47" s="25">
        <f>G47-B47</f>
        <v/>
      </c>
      <c r="P47" s="19" t="inlineStr"/>
    </row>
    <row r="48" ht="21" customHeight="1">
      <c r="A48" s="26" t="n">
        <v>45</v>
      </c>
      <c r="B48" s="27">
        <f>RANK(N48,$N$4:$N$73)</f>
        <v/>
      </c>
      <c r="C48" s="26" t="inlineStr">
        <is>
          <t>262100007064</t>
        </is>
      </c>
      <c r="D48" s="26" t="inlineStr">
        <is>
          <t>男</t>
        </is>
      </c>
      <c r="E48" s="28" t="n">
        <v>79.5</v>
      </c>
      <c r="F48" s="29">
        <f>E48*0.3</f>
        <v/>
      </c>
      <c r="G48" s="26" t="n">
        <v>31</v>
      </c>
      <c r="H48" s="26" t="n">
        <v>32</v>
      </c>
      <c r="I48" s="28" t="n">
        <v>75.56999999999999</v>
      </c>
      <c r="J48" s="29">
        <f>I48*0.7</f>
        <v/>
      </c>
      <c r="K48" s="26" t="n">
        <v>45</v>
      </c>
      <c r="L48" s="26" t="n">
        <v>22</v>
      </c>
      <c r="M48" s="30">
        <f>ROUND(F48+J48, 2)</f>
        <v/>
      </c>
      <c r="N48" s="31">
        <f>F48+J48</f>
        <v/>
      </c>
      <c r="O48" s="32">
        <f>G48-B48</f>
        <v/>
      </c>
      <c r="P48" s="26" t="inlineStr"/>
    </row>
    <row r="49" ht="21" customHeight="1">
      <c r="A49" s="19" t="n">
        <v>46</v>
      </c>
      <c r="B49" s="20">
        <f>RANK(N49,$N$4:$N$73)</f>
        <v/>
      </c>
      <c r="C49" s="19" t="inlineStr">
        <is>
          <t>262100007093</t>
        </is>
      </c>
      <c r="D49" s="19" t="inlineStr">
        <is>
          <t>男</t>
        </is>
      </c>
      <c r="E49" s="21" t="n">
        <v>82</v>
      </c>
      <c r="F49" s="22">
        <f>E49*0.3</f>
        <v/>
      </c>
      <c r="G49" s="19" t="n">
        <v>22</v>
      </c>
      <c r="H49" s="19" t="n">
        <v>23</v>
      </c>
      <c r="I49" s="21" t="n">
        <v>70.97</v>
      </c>
      <c r="J49" s="22">
        <f>I49*0.7</f>
        <v/>
      </c>
      <c r="K49" s="19" t="n">
        <v>46</v>
      </c>
      <c r="L49" s="19" t="n">
        <v>37</v>
      </c>
      <c r="M49" s="23">
        <f>ROUND(F49+J49, 2)</f>
        <v/>
      </c>
      <c r="N49" s="24">
        <f>F49+J49</f>
        <v/>
      </c>
      <c r="O49" s="25">
        <f>G49-B49</f>
        <v/>
      </c>
      <c r="P49" s="19" t="inlineStr"/>
    </row>
    <row r="50" ht="21" customHeight="1">
      <c r="A50" s="26" t="n">
        <v>47</v>
      </c>
      <c r="B50" s="27">
        <f>RANK(N50,$N$4:$N$73)</f>
        <v/>
      </c>
      <c r="C50" s="26" t="inlineStr">
        <is>
          <t>262100007152</t>
        </is>
      </c>
      <c r="D50" s="26" t="inlineStr">
        <is>
          <t>女</t>
        </is>
      </c>
      <c r="E50" s="28" t="n">
        <v>79.5</v>
      </c>
      <c r="F50" s="29">
        <f>E50*0.3</f>
        <v/>
      </c>
      <c r="G50" s="26" t="n">
        <v>31</v>
      </c>
      <c r="H50" s="26" t="n">
        <v>31</v>
      </c>
      <c r="I50" s="28" t="n">
        <v>69.5</v>
      </c>
      <c r="J50" s="29">
        <f>I50*0.7</f>
        <v/>
      </c>
      <c r="K50" s="26" t="n">
        <v>48</v>
      </c>
      <c r="L50" s="26" t="n">
        <v>60</v>
      </c>
      <c r="M50" s="30">
        <f>ROUND(F50+J50, 2)</f>
        <v/>
      </c>
      <c r="N50" s="31">
        <f>F50+J50</f>
        <v/>
      </c>
      <c r="O50" s="32">
        <f>G50-B50</f>
        <v/>
      </c>
      <c r="P50" s="26" t="inlineStr"/>
    </row>
    <row r="51" ht="21" customHeight="1">
      <c r="A51" s="19" t="n">
        <v>48</v>
      </c>
      <c r="B51" s="20">
        <f>RANK(N51,$N$4:$N$73)</f>
        <v/>
      </c>
      <c r="C51" s="19" t="inlineStr">
        <is>
          <t>262100007063</t>
        </is>
      </c>
      <c r="D51" s="19" t="inlineStr">
        <is>
          <t>男</t>
        </is>
      </c>
      <c r="E51" s="21" t="n">
        <v>91</v>
      </c>
      <c r="F51" s="22">
        <f>E51*0.3</f>
        <v/>
      </c>
      <c r="G51" s="19" t="n">
        <v>7</v>
      </c>
      <c r="H51" s="19" t="n">
        <v>7</v>
      </c>
      <c r="I51" s="21" t="n">
        <v>61.7</v>
      </c>
      <c r="J51" s="22">
        <f>I51*0.7</f>
        <v/>
      </c>
      <c r="K51" s="19" t="n">
        <v>49</v>
      </c>
      <c r="L51" s="19" t="n">
        <v>21</v>
      </c>
      <c r="M51" s="23">
        <f>ROUND(F51+J51, 2)</f>
        <v/>
      </c>
      <c r="N51" s="24">
        <f>F51+J51</f>
        <v/>
      </c>
      <c r="O51" s="25">
        <f>G51-B51</f>
        <v/>
      </c>
      <c r="P51" s="19" t="inlineStr"/>
    </row>
    <row r="52" ht="21" customHeight="1">
      <c r="A52" s="26" t="n">
        <v>49</v>
      </c>
      <c r="B52" s="27">
        <f>RANK(N52,$N$4:$N$73)</f>
        <v/>
      </c>
      <c r="C52" s="26" t="inlineStr">
        <is>
          <t>262100007147</t>
        </is>
      </c>
      <c r="D52" s="26" t="inlineStr">
        <is>
          <t>男</t>
        </is>
      </c>
      <c r="E52" s="28" t="n">
        <v>63.5</v>
      </c>
      <c r="F52" s="29">
        <f>E52*0.3</f>
        <v/>
      </c>
      <c r="G52" s="26" t="n">
        <v>70</v>
      </c>
      <c r="H52" s="26" t="n">
        <v>70</v>
      </c>
      <c r="I52" s="28" t="n">
        <v>70.53</v>
      </c>
      <c r="J52" s="29">
        <f>I52*0.7</f>
        <v/>
      </c>
      <c r="K52" s="26" t="n">
        <v>47</v>
      </c>
      <c r="L52" s="26" t="n">
        <v>58</v>
      </c>
      <c r="M52" s="30">
        <f>ROUND(F52+J52, 2)</f>
        <v/>
      </c>
      <c r="N52" s="31">
        <f>F52+J52</f>
        <v/>
      </c>
      <c r="O52" s="32">
        <f>G52-B52</f>
        <v/>
      </c>
      <c r="P52" s="26" t="inlineStr"/>
    </row>
    <row r="53" ht="21" customHeight="1">
      <c r="A53" s="19" t="n">
        <v>50</v>
      </c>
      <c r="B53" s="20">
        <f>RANK(N53,$N$4:$N$73)</f>
        <v/>
      </c>
      <c r="C53" s="19" t="inlineStr">
        <is>
          <t>262100007121</t>
        </is>
      </c>
      <c r="D53" s="19" t="inlineStr">
        <is>
          <t>男</t>
        </is>
      </c>
      <c r="E53" s="21" t="n">
        <v>82</v>
      </c>
      <c r="F53" s="22">
        <f>E53*0.3</f>
        <v/>
      </c>
      <c r="G53" s="19" t="n">
        <v>22</v>
      </c>
      <c r="H53" s="19" t="n">
        <v>22</v>
      </c>
      <c r="I53" s="21" t="n">
        <v>43.23</v>
      </c>
      <c r="J53" s="22">
        <f>I53*0.7</f>
        <v/>
      </c>
      <c r="K53" s="19" t="n">
        <v>51</v>
      </c>
      <c r="L53" s="19" t="n">
        <v>49</v>
      </c>
      <c r="M53" s="23">
        <f>ROUND(F53+J53, 2)</f>
        <v/>
      </c>
      <c r="N53" s="24">
        <f>F53+J53</f>
        <v/>
      </c>
      <c r="O53" s="25">
        <f>G53-B53</f>
        <v/>
      </c>
      <c r="P53" s="19" t="inlineStr"/>
    </row>
    <row r="54" ht="21" customHeight="1">
      <c r="A54" s="26" t="n">
        <v>51</v>
      </c>
      <c r="B54" s="27">
        <f>RANK(N54,$N$4:$N$73)</f>
        <v/>
      </c>
      <c r="C54" s="26" t="inlineStr">
        <is>
          <t>262100007106</t>
        </is>
      </c>
      <c r="D54" s="26" t="inlineStr">
        <is>
          <t>女</t>
        </is>
      </c>
      <c r="E54" s="28" t="n">
        <v>77.5</v>
      </c>
      <c r="F54" s="29">
        <f>E54*0.3</f>
        <v/>
      </c>
      <c r="G54" s="26" t="n">
        <v>41</v>
      </c>
      <c r="H54" s="26" t="n">
        <v>41</v>
      </c>
      <c r="I54" s="28" t="n">
        <v>43.97</v>
      </c>
      <c r="J54" s="29">
        <f>I54*0.7</f>
        <v/>
      </c>
      <c r="K54" s="26" t="n">
        <v>50</v>
      </c>
      <c r="L54" s="26" t="n">
        <v>43</v>
      </c>
      <c r="M54" s="30">
        <f>ROUND(F54+J54, 2)</f>
        <v/>
      </c>
      <c r="N54" s="31">
        <f>F54+J54</f>
        <v/>
      </c>
      <c r="O54" s="32">
        <f>G54-B54</f>
        <v/>
      </c>
      <c r="P54" s="26" t="inlineStr"/>
    </row>
    <row r="55" ht="21" customHeight="1">
      <c r="A55" s="19" t="n">
        <v>52</v>
      </c>
      <c r="B55" s="20">
        <f>RANK(N55,$N$4:$N$73)</f>
        <v/>
      </c>
      <c r="C55" s="19" t="inlineStr">
        <is>
          <t>262100007145</t>
        </is>
      </c>
      <c r="D55" s="19" t="inlineStr">
        <is>
          <t>女</t>
        </is>
      </c>
      <c r="E55" s="21" t="n">
        <v>77.5</v>
      </c>
      <c r="F55" s="22">
        <f>E55*0.3</f>
        <v/>
      </c>
      <c r="G55" s="19" t="n">
        <v>41</v>
      </c>
      <c r="H55" s="19" t="n">
        <v>42</v>
      </c>
      <c r="I55" s="21" t="n">
        <v>32.83</v>
      </c>
      <c r="J55" s="22">
        <f>I55*0.7</f>
        <v/>
      </c>
      <c r="K55" s="19" t="n">
        <v>52</v>
      </c>
      <c r="L55" s="19" t="n">
        <v>57</v>
      </c>
      <c r="M55" s="23">
        <f>ROUND(F55+J55, 2)</f>
        <v/>
      </c>
      <c r="N55" s="24">
        <f>F55+J55</f>
        <v/>
      </c>
      <c r="O55" s="25">
        <f>G55-B55</f>
        <v/>
      </c>
      <c r="P55" s="19" t="inlineStr"/>
    </row>
    <row r="56" ht="21" customHeight="1">
      <c r="A56" s="26" t="n">
        <v>53</v>
      </c>
      <c r="B56" s="27">
        <f>RANK(N56,$N$4:$N$73)</f>
        <v/>
      </c>
      <c r="C56" s="26" t="inlineStr">
        <is>
          <t>262100007034</t>
        </is>
      </c>
      <c r="D56" s="26" t="inlineStr">
        <is>
          <t>男</t>
        </is>
      </c>
      <c r="E56" s="28" t="n">
        <v>84.5</v>
      </c>
      <c r="F56" s="29">
        <f>E56*0.3</f>
        <v/>
      </c>
      <c r="G56" s="26" t="n">
        <v>16</v>
      </c>
      <c r="H56" s="26" t="n">
        <v>18</v>
      </c>
      <c r="I56" s="28" t="n">
        <v>22.53</v>
      </c>
      <c r="J56" s="29">
        <f>I56*0.7</f>
        <v/>
      </c>
      <c r="K56" s="26" t="n">
        <v>54</v>
      </c>
      <c r="L56" s="26" t="n">
        <v>13</v>
      </c>
      <c r="M56" s="30">
        <f>ROUND(F56+J56, 2)</f>
        <v/>
      </c>
      <c r="N56" s="31">
        <f>F56+J56</f>
        <v/>
      </c>
      <c r="O56" s="32">
        <f>G56-B56</f>
        <v/>
      </c>
      <c r="P56" s="26" t="inlineStr"/>
    </row>
    <row r="57" ht="21" customHeight="1">
      <c r="A57" s="19" t="n">
        <v>54</v>
      </c>
      <c r="B57" s="20">
        <f>RANK(N57,$N$4:$N$73)</f>
        <v/>
      </c>
      <c r="C57" s="19" t="inlineStr">
        <is>
          <t>262100007128</t>
        </is>
      </c>
      <c r="D57" s="19" t="inlineStr">
        <is>
          <t>男</t>
        </is>
      </c>
      <c r="E57" s="21" t="n">
        <v>76.5</v>
      </c>
      <c r="F57" s="22">
        <f>E57*0.3</f>
        <v/>
      </c>
      <c r="G57" s="19" t="n">
        <v>44</v>
      </c>
      <c r="H57" s="19" t="n">
        <v>44</v>
      </c>
      <c r="I57" s="21" t="n">
        <v>23.93</v>
      </c>
      <c r="J57" s="22">
        <f>I57*0.7</f>
        <v/>
      </c>
      <c r="K57" s="19" t="n">
        <v>53</v>
      </c>
      <c r="L57" s="19" t="n">
        <v>52</v>
      </c>
      <c r="M57" s="23">
        <f>ROUND(F57+J57, 2)</f>
        <v/>
      </c>
      <c r="N57" s="24">
        <f>F57+J57</f>
        <v/>
      </c>
      <c r="O57" s="25">
        <f>G57-B57</f>
        <v/>
      </c>
      <c r="P57" s="19" t="inlineStr"/>
    </row>
    <row r="58" ht="21" customHeight="1">
      <c r="A58" s="26" t="n">
        <v>55</v>
      </c>
      <c r="B58" s="27">
        <f>RANK(N58,$N$4:$N$73)</f>
        <v/>
      </c>
      <c r="C58" s="26" t="inlineStr">
        <is>
          <t>262100007007</t>
        </is>
      </c>
      <c r="D58" s="26" t="inlineStr">
        <is>
          <t>男</t>
        </is>
      </c>
      <c r="E58" s="28" t="n">
        <v>76</v>
      </c>
      <c r="F58" s="29">
        <f>E58*0.3</f>
        <v/>
      </c>
      <c r="G58" s="26" t="n">
        <v>45</v>
      </c>
      <c r="H58" s="26" t="n">
        <v>45</v>
      </c>
      <c r="I58" s="28" t="n">
        <v>21.5</v>
      </c>
      <c r="J58" s="29">
        <f>I58*0.7</f>
        <v/>
      </c>
      <c r="K58" s="26" t="n">
        <v>55</v>
      </c>
      <c r="L58" s="26" t="n">
        <v>4</v>
      </c>
      <c r="M58" s="30">
        <f>ROUND(F58+J58, 2)</f>
        <v/>
      </c>
      <c r="N58" s="31">
        <f>F58+J58</f>
        <v/>
      </c>
      <c r="O58" s="32">
        <f>G58-B58</f>
        <v/>
      </c>
      <c r="P58" s="26" t="inlineStr"/>
    </row>
    <row r="59" ht="21" customHeight="1">
      <c r="A59" s="19" t="n">
        <v>56</v>
      </c>
      <c r="B59" s="20">
        <f>RANK(N59,$N$4:$N$73)</f>
        <v/>
      </c>
      <c r="C59" s="19" t="inlineStr">
        <is>
          <t>262100007116</t>
        </is>
      </c>
      <c r="D59" s="19" t="inlineStr">
        <is>
          <t>男</t>
        </is>
      </c>
      <c r="E59" s="21" t="n">
        <v>80.5</v>
      </c>
      <c r="F59" s="22">
        <f>E59*0.3</f>
        <v/>
      </c>
      <c r="G59" s="19" t="n">
        <v>27</v>
      </c>
      <c r="H59" s="19" t="n">
        <v>27</v>
      </c>
      <c r="I59" s="21" t="n">
        <v>14</v>
      </c>
      <c r="J59" s="22">
        <f>I59*0.7</f>
        <v/>
      </c>
      <c r="K59" s="19" t="n">
        <v>56</v>
      </c>
      <c r="L59" s="19" t="n">
        <v>47</v>
      </c>
      <c r="M59" s="23">
        <f>ROUND(F59+J59, 2)</f>
        <v/>
      </c>
      <c r="N59" s="24">
        <f>F59+J59</f>
        <v/>
      </c>
      <c r="O59" s="25">
        <f>G59-B59</f>
        <v/>
      </c>
      <c r="P59" s="19" t="inlineStr"/>
    </row>
    <row r="60" ht="21" customHeight="1">
      <c r="A60" s="26" t="n">
        <v>57</v>
      </c>
      <c r="B60" s="27">
        <f>RANK(N60,$N$4:$N$73)</f>
        <v/>
      </c>
      <c r="C60" s="26" t="inlineStr">
        <is>
          <t>262100007074</t>
        </is>
      </c>
      <c r="D60" s="26" t="inlineStr">
        <is>
          <t>男</t>
        </is>
      </c>
      <c r="E60" s="28" t="n">
        <v>73</v>
      </c>
      <c r="F60" s="29">
        <f>E60*0.3</f>
        <v/>
      </c>
      <c r="G60" s="26" t="n">
        <v>54</v>
      </c>
      <c r="H60" s="26" t="n">
        <v>54</v>
      </c>
      <c r="I60" s="28" t="n">
        <v>12.2</v>
      </c>
      <c r="J60" s="29">
        <f>I60*0.7</f>
        <v/>
      </c>
      <c r="K60" s="26" t="n">
        <v>57</v>
      </c>
      <c r="L60" s="26" t="n">
        <v>27</v>
      </c>
      <c r="M60" s="30">
        <f>ROUND(F60+J60, 2)</f>
        <v/>
      </c>
      <c r="N60" s="31">
        <f>F60+J60</f>
        <v/>
      </c>
      <c r="O60" s="32">
        <f>G60-B60</f>
        <v/>
      </c>
      <c r="P60" s="26" t="inlineStr"/>
    </row>
    <row r="61" ht="21" customHeight="1">
      <c r="A61" s="33" t="n">
        <v>58</v>
      </c>
      <c r="B61" s="33">
        <f>RANK(N61,$N$4:$N$73)</f>
        <v/>
      </c>
      <c r="C61" s="33" t="inlineStr">
        <is>
          <t>262100007159</t>
        </is>
      </c>
      <c r="D61" s="33" t="inlineStr">
        <is>
          <t>男</t>
        </is>
      </c>
      <c r="E61" s="34" t="n">
        <v>83</v>
      </c>
      <c r="F61" s="35">
        <f>E61*0.3</f>
        <v/>
      </c>
      <c r="G61" s="33" t="n">
        <v>20</v>
      </c>
      <c r="H61" s="33" t="n">
        <v>20</v>
      </c>
      <c r="I61" s="34" t="n">
        <v>0</v>
      </c>
      <c r="J61" s="35">
        <f>I61*0.7</f>
        <v/>
      </c>
      <c r="K61" s="33" t="inlineStr">
        <is>
          <t>/</t>
        </is>
      </c>
      <c r="L61" s="33" t="n">
        <v>64</v>
      </c>
      <c r="M61" s="34">
        <f>ROUND(F61+J61, 2)</f>
        <v/>
      </c>
      <c r="N61" s="36">
        <f>F61+J61</f>
        <v/>
      </c>
      <c r="O61" s="37">
        <f>G61-B61</f>
        <v/>
      </c>
      <c r="P61" s="33" t="inlineStr">
        <is>
          <t>决赛缺赛</t>
        </is>
      </c>
    </row>
    <row r="62" ht="21" customHeight="1">
      <c r="A62" s="33" t="n">
        <v>59</v>
      </c>
      <c r="B62" s="33">
        <f>RANK(N62,$N$4:$N$73)</f>
        <v/>
      </c>
      <c r="C62" s="33" t="inlineStr">
        <is>
          <t>262100007014</t>
        </is>
      </c>
      <c r="D62" s="33" t="inlineStr">
        <is>
          <t>男</t>
        </is>
      </c>
      <c r="E62" s="34" t="n">
        <v>81.5</v>
      </c>
      <c r="F62" s="35">
        <f>E62*0.3</f>
        <v/>
      </c>
      <c r="G62" s="33" t="n">
        <v>24</v>
      </c>
      <c r="H62" s="33" t="n">
        <v>24</v>
      </c>
      <c r="I62" s="34" t="n">
        <v>0</v>
      </c>
      <c r="J62" s="35">
        <f>I62*0.7</f>
        <v/>
      </c>
      <c r="K62" s="33" t="inlineStr">
        <is>
          <t>/</t>
        </is>
      </c>
      <c r="L62" s="33" t="n">
        <v>7</v>
      </c>
      <c r="M62" s="34">
        <f>ROUND(F62+J62, 2)</f>
        <v/>
      </c>
      <c r="N62" s="36">
        <f>F62+J62</f>
        <v/>
      </c>
      <c r="O62" s="37">
        <f>G62-B62</f>
        <v/>
      </c>
      <c r="P62" s="33" t="inlineStr">
        <is>
          <t>决赛缺赛</t>
        </is>
      </c>
    </row>
    <row r="63" ht="21" customHeight="1">
      <c r="A63" s="33" t="n">
        <v>60</v>
      </c>
      <c r="B63" s="33">
        <f>RANK(N63,$N$4:$N$73)</f>
        <v/>
      </c>
      <c r="C63" s="33" t="inlineStr">
        <is>
          <t>262100007090</t>
        </is>
      </c>
      <c r="D63" s="33" t="inlineStr">
        <is>
          <t>男</t>
        </is>
      </c>
      <c r="E63" s="34" t="n">
        <v>80.5</v>
      </c>
      <c r="F63" s="35">
        <f>E63*0.3</f>
        <v/>
      </c>
      <c r="G63" s="33" t="n">
        <v>27</v>
      </c>
      <c r="H63" s="33" t="n">
        <v>28</v>
      </c>
      <c r="I63" s="34" t="n">
        <v>0</v>
      </c>
      <c r="J63" s="35">
        <f>I63*0.7</f>
        <v/>
      </c>
      <c r="K63" s="33" t="inlineStr">
        <is>
          <t>/</t>
        </is>
      </c>
      <c r="L63" s="33" t="n">
        <v>36</v>
      </c>
      <c r="M63" s="34">
        <f>ROUND(F63+J63, 2)</f>
        <v/>
      </c>
      <c r="N63" s="36">
        <f>F63+J63</f>
        <v/>
      </c>
      <c r="O63" s="37">
        <f>G63-B63</f>
        <v/>
      </c>
      <c r="P63" s="33" t="inlineStr">
        <is>
          <t>决赛缺赛</t>
        </is>
      </c>
    </row>
    <row r="64" ht="21" customHeight="1">
      <c r="A64" s="33" t="n">
        <v>61</v>
      </c>
      <c r="B64" s="33">
        <f>RANK(N64,$N$4:$N$73)</f>
        <v/>
      </c>
      <c r="C64" s="33" t="inlineStr">
        <is>
          <t>262100007065</t>
        </is>
      </c>
      <c r="D64" s="33" t="inlineStr">
        <is>
          <t>男</t>
        </is>
      </c>
      <c r="E64" s="34" t="n">
        <v>80</v>
      </c>
      <c r="F64" s="35">
        <f>E64*0.3</f>
        <v/>
      </c>
      <c r="G64" s="33" t="n">
        <v>29</v>
      </c>
      <c r="H64" s="33" t="n">
        <v>29</v>
      </c>
      <c r="I64" s="34" t="n">
        <v>0</v>
      </c>
      <c r="J64" s="35">
        <f>I64*0.7</f>
        <v/>
      </c>
      <c r="K64" s="33" t="inlineStr">
        <is>
          <t>/</t>
        </is>
      </c>
      <c r="L64" s="33" t="n">
        <v>23</v>
      </c>
      <c r="M64" s="34">
        <f>ROUND(F64+J64, 2)</f>
        <v/>
      </c>
      <c r="N64" s="36">
        <f>F64+J64</f>
        <v/>
      </c>
      <c r="O64" s="37">
        <f>G64-B64</f>
        <v/>
      </c>
      <c r="P64" s="33" t="inlineStr">
        <is>
          <t>决赛缺赛</t>
        </is>
      </c>
    </row>
    <row r="65" ht="21" customHeight="1">
      <c r="A65" s="33" t="n">
        <v>62</v>
      </c>
      <c r="B65" s="33">
        <f>RANK(N65,$N$4:$N$73)</f>
        <v/>
      </c>
      <c r="C65" s="33" t="inlineStr">
        <is>
          <t>262100007040</t>
        </is>
      </c>
      <c r="D65" s="33" t="inlineStr">
        <is>
          <t>女</t>
        </is>
      </c>
      <c r="E65" s="34" t="n">
        <v>75.5</v>
      </c>
      <c r="F65" s="35">
        <f>E65*0.3</f>
        <v/>
      </c>
      <c r="G65" s="33" t="n">
        <v>48</v>
      </c>
      <c r="H65" s="33" t="n">
        <v>48</v>
      </c>
      <c r="I65" s="34" t="n">
        <v>0</v>
      </c>
      <c r="J65" s="35">
        <f>I65*0.7</f>
        <v/>
      </c>
      <c r="K65" s="33" t="inlineStr">
        <is>
          <t>/</t>
        </is>
      </c>
      <c r="L65" s="33" t="n">
        <v>16</v>
      </c>
      <c r="M65" s="34">
        <f>ROUND(F65+J65, 2)</f>
        <v/>
      </c>
      <c r="N65" s="36">
        <f>F65+J65</f>
        <v/>
      </c>
      <c r="O65" s="37">
        <f>G65-B65</f>
        <v/>
      </c>
      <c r="P65" s="33" t="inlineStr">
        <is>
          <t>决赛缺赛</t>
        </is>
      </c>
    </row>
    <row r="66" ht="21" customHeight="1">
      <c r="A66" s="33" t="n">
        <v>63</v>
      </c>
      <c r="B66" s="33">
        <f>RANK(N66,$N$4:$N$73)</f>
        <v/>
      </c>
      <c r="C66" s="33" t="inlineStr">
        <is>
          <t>262100007182</t>
        </is>
      </c>
      <c r="D66" s="33" t="inlineStr">
        <is>
          <t>男</t>
        </is>
      </c>
      <c r="E66" s="34" t="n">
        <v>72.5</v>
      </c>
      <c r="F66" s="35">
        <f>E66*0.3</f>
        <v/>
      </c>
      <c r="G66" s="33" t="n">
        <v>55</v>
      </c>
      <c r="H66" s="33" t="n">
        <v>55</v>
      </c>
      <c r="I66" s="34" t="n">
        <v>0</v>
      </c>
      <c r="J66" s="35">
        <f>I66*0.7</f>
        <v/>
      </c>
      <c r="K66" s="33" t="inlineStr">
        <is>
          <t>/</t>
        </is>
      </c>
      <c r="L66" s="33" t="n">
        <v>68</v>
      </c>
      <c r="M66" s="34">
        <f>ROUND(F66+J66, 2)</f>
        <v/>
      </c>
      <c r="N66" s="36">
        <f>F66+J66</f>
        <v/>
      </c>
      <c r="O66" s="37">
        <f>G66-B66</f>
        <v/>
      </c>
      <c r="P66" s="33" t="inlineStr">
        <is>
          <t>决赛缺赛</t>
        </is>
      </c>
    </row>
    <row r="67" ht="21" customHeight="1">
      <c r="A67" s="33" t="n">
        <v>64</v>
      </c>
      <c r="B67" s="33">
        <f>RANK(N67,$N$4:$N$73)</f>
        <v/>
      </c>
      <c r="C67" s="33" t="inlineStr">
        <is>
          <t>262100007097</t>
        </is>
      </c>
      <c r="D67" s="33" t="inlineStr">
        <is>
          <t>男</t>
        </is>
      </c>
      <c r="E67" s="34" t="n">
        <v>72</v>
      </c>
      <c r="F67" s="35">
        <f>E67*0.3</f>
        <v/>
      </c>
      <c r="G67" s="33" t="n">
        <v>56</v>
      </c>
      <c r="H67" s="33" t="n">
        <v>56</v>
      </c>
      <c r="I67" s="34" t="n">
        <v>0</v>
      </c>
      <c r="J67" s="35">
        <f>I67*0.7</f>
        <v/>
      </c>
      <c r="K67" s="33" t="inlineStr">
        <is>
          <t>/</t>
        </is>
      </c>
      <c r="L67" s="33" t="n">
        <v>40</v>
      </c>
      <c r="M67" s="34">
        <f>ROUND(F67+J67, 2)</f>
        <v/>
      </c>
      <c r="N67" s="36">
        <f>F67+J67</f>
        <v/>
      </c>
      <c r="O67" s="37">
        <f>G67-B67</f>
        <v/>
      </c>
      <c r="P67" s="33" t="inlineStr">
        <is>
          <t>决赛缺赛</t>
        </is>
      </c>
    </row>
    <row r="68" ht="21" customHeight="1">
      <c r="A68" s="33" t="n">
        <v>65</v>
      </c>
      <c r="B68" s="33">
        <f>RANK(N68,$N$4:$N$73)</f>
        <v/>
      </c>
      <c r="C68" s="33" t="inlineStr">
        <is>
          <t>262100007049</t>
        </is>
      </c>
      <c r="D68" s="33" t="inlineStr">
        <is>
          <t>女</t>
        </is>
      </c>
      <c r="E68" s="34" t="n">
        <v>71.5</v>
      </c>
      <c r="F68" s="35">
        <f>E68*0.3</f>
        <v/>
      </c>
      <c r="G68" s="33" t="n">
        <v>57</v>
      </c>
      <c r="H68" s="33" t="n">
        <v>57</v>
      </c>
      <c r="I68" s="34" t="n">
        <v>0</v>
      </c>
      <c r="J68" s="35">
        <f>I68*0.7</f>
        <v/>
      </c>
      <c r="K68" s="33" t="inlineStr">
        <is>
          <t>/</t>
        </is>
      </c>
      <c r="L68" s="33" t="n">
        <v>18</v>
      </c>
      <c r="M68" s="34">
        <f>ROUND(F68+J68, 2)</f>
        <v/>
      </c>
      <c r="N68" s="36">
        <f>F68+J68</f>
        <v/>
      </c>
      <c r="O68" s="37">
        <f>G68-B68</f>
        <v/>
      </c>
      <c r="P68" s="33" t="inlineStr">
        <is>
          <t>决赛缺赛</t>
        </is>
      </c>
    </row>
    <row r="69" ht="21" customHeight="1">
      <c r="A69" s="33" t="n">
        <v>66</v>
      </c>
      <c r="B69" s="33">
        <f>RANK(N69,$N$4:$N$73)</f>
        <v/>
      </c>
      <c r="C69" s="33" t="inlineStr">
        <is>
          <t>262100007111</t>
        </is>
      </c>
      <c r="D69" s="33" t="inlineStr">
        <is>
          <t>女</t>
        </is>
      </c>
      <c r="E69" s="34" t="n">
        <v>68</v>
      </c>
      <c r="F69" s="35">
        <f>E69*0.3</f>
        <v/>
      </c>
      <c r="G69" s="33" t="n">
        <v>60</v>
      </c>
      <c r="H69" s="33" t="n">
        <v>60</v>
      </c>
      <c r="I69" s="34" t="n">
        <v>0</v>
      </c>
      <c r="J69" s="35">
        <f>I69*0.7</f>
        <v/>
      </c>
      <c r="K69" s="33" t="inlineStr">
        <is>
          <t>/</t>
        </is>
      </c>
      <c r="L69" s="33" t="n">
        <v>45</v>
      </c>
      <c r="M69" s="34">
        <f>ROUND(F69+J69, 2)</f>
        <v/>
      </c>
      <c r="N69" s="36">
        <f>F69+J69</f>
        <v/>
      </c>
      <c r="O69" s="37">
        <f>G69-B69</f>
        <v/>
      </c>
      <c r="P69" s="33" t="inlineStr">
        <is>
          <t>决赛缺赛</t>
        </is>
      </c>
    </row>
    <row r="70" ht="21" customHeight="1">
      <c r="A70" s="33" t="n">
        <v>67</v>
      </c>
      <c r="B70" s="33">
        <f>RANK(N70,$N$4:$N$73)</f>
        <v/>
      </c>
      <c r="C70" s="33" t="inlineStr">
        <is>
          <t>262100007166</t>
        </is>
      </c>
      <c r="D70" s="33" t="inlineStr">
        <is>
          <t>男</t>
        </is>
      </c>
      <c r="E70" s="34" t="n">
        <v>67.5</v>
      </c>
      <c r="F70" s="35">
        <f>E70*0.3</f>
        <v/>
      </c>
      <c r="G70" s="33" t="n">
        <v>61</v>
      </c>
      <c r="H70" s="33" t="n">
        <v>62</v>
      </c>
      <c r="I70" s="34" t="n">
        <v>0</v>
      </c>
      <c r="J70" s="35">
        <f>I70*0.7</f>
        <v/>
      </c>
      <c r="K70" s="33" t="inlineStr">
        <is>
          <t>/</t>
        </is>
      </c>
      <c r="L70" s="33" t="n">
        <v>66</v>
      </c>
      <c r="M70" s="34">
        <f>ROUND(F70+J70, 2)</f>
        <v/>
      </c>
      <c r="N70" s="36">
        <f>F70+J70</f>
        <v/>
      </c>
      <c r="O70" s="37">
        <f>G70-B70</f>
        <v/>
      </c>
      <c r="P70" s="33" t="inlineStr">
        <is>
          <t>决赛缺赛</t>
        </is>
      </c>
    </row>
    <row r="71" ht="21" customHeight="1">
      <c r="A71" s="33" t="n">
        <v>68</v>
      </c>
      <c r="B71" s="33">
        <f>RANK(N71,$N$4:$N$73)</f>
        <v/>
      </c>
      <c r="C71" s="33" t="inlineStr">
        <is>
          <t>262100007184</t>
        </is>
      </c>
      <c r="D71" s="33" t="inlineStr">
        <is>
          <t>女</t>
        </is>
      </c>
      <c r="E71" s="34" t="n">
        <v>67.5</v>
      </c>
      <c r="F71" s="35">
        <f>E71*0.3</f>
        <v/>
      </c>
      <c r="G71" s="33" t="n">
        <v>61</v>
      </c>
      <c r="H71" s="33" t="n">
        <v>61</v>
      </c>
      <c r="I71" s="34" t="n">
        <v>0</v>
      </c>
      <c r="J71" s="35">
        <f>I71*0.7</f>
        <v/>
      </c>
      <c r="K71" s="33" t="inlineStr">
        <is>
          <t>/</t>
        </is>
      </c>
      <c r="L71" s="33" t="n">
        <v>69</v>
      </c>
      <c r="M71" s="34">
        <f>ROUND(F71+J71, 2)</f>
        <v/>
      </c>
      <c r="N71" s="36">
        <f>F71+J71</f>
        <v/>
      </c>
      <c r="O71" s="37">
        <f>G71-B71</f>
        <v/>
      </c>
      <c r="P71" s="33" t="inlineStr">
        <is>
          <t>决赛缺赛</t>
        </is>
      </c>
    </row>
    <row r="72" ht="21" customHeight="1">
      <c r="A72" s="33" t="n">
        <v>69</v>
      </c>
      <c r="B72" s="33">
        <f>RANK(N72,$N$4:$N$73)</f>
        <v/>
      </c>
      <c r="C72" s="33" t="inlineStr">
        <is>
          <t>262100007127</t>
        </is>
      </c>
      <c r="D72" s="33" t="inlineStr">
        <is>
          <t>男</t>
        </is>
      </c>
      <c r="E72" s="34" t="n">
        <v>65.5</v>
      </c>
      <c r="F72" s="35">
        <f>E72*0.3</f>
        <v/>
      </c>
      <c r="G72" s="33" t="n">
        <v>66</v>
      </c>
      <c r="H72" s="33" t="n">
        <v>66</v>
      </c>
      <c r="I72" s="34" t="n">
        <v>0</v>
      </c>
      <c r="J72" s="35">
        <f>I72*0.7</f>
        <v/>
      </c>
      <c r="K72" s="33" t="inlineStr">
        <is>
          <t>/</t>
        </is>
      </c>
      <c r="L72" s="33" t="n">
        <v>51</v>
      </c>
      <c r="M72" s="34">
        <f>ROUND(F72+J72, 2)</f>
        <v/>
      </c>
      <c r="N72" s="36">
        <f>F72+J72</f>
        <v/>
      </c>
      <c r="O72" s="37">
        <f>G72-B72</f>
        <v/>
      </c>
      <c r="P72" s="33" t="inlineStr">
        <is>
          <t>决赛缺赛</t>
        </is>
      </c>
    </row>
    <row r="73" ht="21" customHeight="1">
      <c r="A73" s="33" t="n">
        <v>70</v>
      </c>
      <c r="B73" s="33">
        <f>RANK(N73,$N$4:$N$73)</f>
        <v/>
      </c>
      <c r="C73" s="33" t="inlineStr">
        <is>
          <t>262100007082</t>
        </is>
      </c>
      <c r="D73" s="33" t="inlineStr">
        <is>
          <t>男</t>
        </is>
      </c>
      <c r="E73" s="34" t="n">
        <v>65</v>
      </c>
      <c r="F73" s="35">
        <f>E73*0.3</f>
        <v/>
      </c>
      <c r="G73" s="33" t="n">
        <v>67</v>
      </c>
      <c r="H73" s="33" t="n">
        <v>68</v>
      </c>
      <c r="I73" s="34" t="n">
        <v>0</v>
      </c>
      <c r="J73" s="35">
        <f>I73*0.7</f>
        <v/>
      </c>
      <c r="K73" s="33" t="inlineStr">
        <is>
          <t>/</t>
        </is>
      </c>
      <c r="L73" s="33" t="n">
        <v>31</v>
      </c>
      <c r="M73" s="34">
        <f>ROUND(F73+J73, 2)</f>
        <v/>
      </c>
      <c r="N73" s="36">
        <f>F73+J73</f>
        <v/>
      </c>
      <c r="O73" s="37">
        <f>G73-B73</f>
        <v/>
      </c>
      <c r="P73" s="33" t="inlineStr">
        <is>
          <t>决赛缺赛</t>
        </is>
      </c>
    </row>
    <row r="74" ht="24" customHeight="1">
      <c r="A74" s="38" t="inlineStr">
        <is>
          <t>全员统计均值 (入围70人)</t>
        </is>
      </c>
      <c r="B74" s="39" t="n"/>
      <c r="C74" s="39" t="n"/>
      <c r="D74" s="39" t="n"/>
      <c r="E74" s="40">
        <f>AVERAGE(E4:E73)</f>
        <v/>
      </c>
      <c r="F74" s="41">
        <f>AVERAGE(F4:F73)</f>
        <v/>
      </c>
      <c r="G74" s="38" t="inlineStr">
        <is>
          <t>-</t>
        </is>
      </c>
      <c r="H74" s="38" t="inlineStr">
        <is>
          <t>-</t>
        </is>
      </c>
      <c r="I74" s="40">
        <f>AVERAGE(I4:I73)</f>
        <v/>
      </c>
      <c r="J74" s="41">
        <f>AVERAGE(J4:J73)</f>
        <v/>
      </c>
      <c r="K74" s="38" t="inlineStr">
        <is>
          <t>-</t>
        </is>
      </c>
      <c r="L74" s="38" t="inlineStr">
        <is>
          <t>-</t>
        </is>
      </c>
      <c r="M74" s="40">
        <f>AVERAGE(M4:M73)</f>
        <v/>
      </c>
      <c r="N74" s="42">
        <f>AVERAGE(N4:N73)</f>
        <v/>
      </c>
      <c r="O74" s="38" t="inlineStr">
        <is>
          <t>-</t>
        </is>
      </c>
      <c r="P74" s="38" t="inlineStr">
        <is>
          <t>含决赛缺赛13人</t>
        </is>
      </c>
    </row>
  </sheetData>
  <autoFilter ref="A3:P73"/>
  <mergeCells count="3">
    <mergeCell ref="A74:D74"/>
    <mergeCell ref="A1:P1"/>
    <mergeCell ref="A2:P2"/>
  </mergeCells>
  <conditionalFormatting sqref="M4:M60">
    <cfRule type="colorScale" priority="1">
      <colorScale>
        <cfvo type="num" val="30"/>
        <cfvo type="num" val="80"/>
        <cfvo type="num" val="99"/>
        <color rgb="00FCE4D6"/>
        <color rgb="00FFF2C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12" customWidth="1" min="9" max="9"/>
    <col width="18" customWidth="1" min="10" max="10"/>
    <col width="20" customWidth="1" min="11" max="11"/>
  </cols>
  <sheetData>
    <row r="1" ht="30" customHeight="1">
      <c r="A1" s="1" t="inlineStr">
        <is>
          <t>深圳市第十六届职工技术创新运动会暨2026年深圳技能大赛—全部 132 名选手成绩总览</t>
        </is>
      </c>
    </row>
    <row r="2" ht="20" customHeight="1">
      <c r="A2" s="2" t="inlineStr">
        <is>
          <t>包含入围决赛 70 人（按综合总成绩排序）及未入围决赛 62 人（按初赛成绩排序）</t>
        </is>
      </c>
    </row>
    <row r="3" ht="26" customHeight="1">
      <c r="A3" s="3" t="inlineStr">
        <is>
          <t>总览序号</t>
        </is>
      </c>
      <c r="B3" s="3" t="inlineStr">
        <is>
          <t>参赛证号</t>
        </is>
      </c>
      <c r="C3" s="3" t="inlineStr">
        <is>
          <t>性别</t>
        </is>
      </c>
      <c r="D3" s="3" t="inlineStr">
        <is>
          <t>是否入围决赛</t>
        </is>
      </c>
      <c r="E3" s="3" t="inlineStr">
        <is>
          <t>初赛原表序号</t>
        </is>
      </c>
      <c r="F3" s="3" t="inlineStr">
        <is>
          <t>初赛成绩</t>
        </is>
      </c>
      <c r="G3" s="3" t="inlineStr">
        <is>
          <t>初赛排名</t>
        </is>
      </c>
      <c r="H3" s="3" t="inlineStr">
        <is>
          <t>决赛原表序号</t>
        </is>
      </c>
      <c r="I3" s="3" t="inlineStr">
        <is>
          <t>决赛成绩</t>
        </is>
      </c>
      <c r="J3" s="3" t="inlineStr">
        <is>
          <t>综合总成绩(保留2位)</t>
        </is>
      </c>
      <c r="K3" s="3" t="inlineStr">
        <is>
          <t>状态/备注</t>
        </is>
      </c>
    </row>
    <row r="4" ht="20" customHeight="1">
      <c r="A4" s="26" t="n">
        <v>1</v>
      </c>
      <c r="B4" s="26" t="inlineStr">
        <is>
          <t>262100007023</t>
        </is>
      </c>
      <c r="C4" s="26" t="inlineStr">
        <is>
          <t>男</t>
        </is>
      </c>
      <c r="D4" s="26" t="inlineStr">
        <is>
          <t>是</t>
        </is>
      </c>
      <c r="E4" s="26" t="n">
        <v>1</v>
      </c>
      <c r="F4" s="28" t="n">
        <v>100</v>
      </c>
      <c r="G4" s="26" t="n">
        <v>1</v>
      </c>
      <c r="H4" s="26" t="n">
        <v>8</v>
      </c>
      <c r="I4" s="28" t="n">
        <v>97.93000000000001</v>
      </c>
      <c r="J4" s="28">
        <f>ROUND(F4*0.3+I4*0.7, 2)</f>
        <v/>
      </c>
      <c r="K4" s="26" t="inlineStr">
        <is>
          <t>综合第1名</t>
        </is>
      </c>
    </row>
    <row r="5" ht="20" customHeight="1">
      <c r="A5" s="19" t="n">
        <v>2</v>
      </c>
      <c r="B5" s="19" t="inlineStr">
        <is>
          <t>262100007139</t>
        </is>
      </c>
      <c r="C5" s="19" t="inlineStr">
        <is>
          <t>女</t>
        </is>
      </c>
      <c r="D5" s="19" t="inlineStr">
        <is>
          <t>是</t>
        </is>
      </c>
      <c r="E5" s="19" t="n">
        <v>2</v>
      </c>
      <c r="F5" s="21" t="n">
        <v>98</v>
      </c>
      <c r="G5" s="19" t="n">
        <v>2</v>
      </c>
      <c r="H5" s="19" t="n">
        <v>56</v>
      </c>
      <c r="I5" s="21" t="n">
        <v>94.73</v>
      </c>
      <c r="J5" s="21">
        <f>ROUND(F5*0.3+I5*0.7, 2)</f>
        <v/>
      </c>
      <c r="K5" s="19" t="inlineStr">
        <is>
          <t>综合第2名</t>
        </is>
      </c>
    </row>
    <row r="6" ht="20" customHeight="1">
      <c r="A6" s="26" t="n">
        <v>3</v>
      </c>
      <c r="B6" s="26" t="inlineStr">
        <is>
          <t>262100007031</t>
        </is>
      </c>
      <c r="C6" s="26" t="inlineStr">
        <is>
          <t>男</t>
        </is>
      </c>
      <c r="D6" s="26" t="inlineStr">
        <is>
          <t>是</t>
        </is>
      </c>
      <c r="E6" s="26" t="n">
        <v>3</v>
      </c>
      <c r="F6" s="28" t="n">
        <v>98</v>
      </c>
      <c r="G6" s="26" t="n">
        <v>2</v>
      </c>
      <c r="H6" s="26" t="n">
        <v>12</v>
      </c>
      <c r="I6" s="28" t="n">
        <v>94.27</v>
      </c>
      <c r="J6" s="28">
        <f>ROUND(F6*0.3+I6*0.7, 2)</f>
        <v/>
      </c>
      <c r="K6" s="26" t="inlineStr">
        <is>
          <t>综合第3名</t>
        </is>
      </c>
    </row>
    <row r="7" ht="20" customHeight="1">
      <c r="A7" s="19" t="n">
        <v>4</v>
      </c>
      <c r="B7" s="19" t="inlineStr">
        <is>
          <t>262100007024</t>
        </is>
      </c>
      <c r="C7" s="19" t="inlineStr">
        <is>
          <t>男</t>
        </is>
      </c>
      <c r="D7" s="19" t="inlineStr">
        <is>
          <t>是</t>
        </is>
      </c>
      <c r="E7" s="19" t="n">
        <v>8</v>
      </c>
      <c r="F7" s="21" t="n">
        <v>89.5</v>
      </c>
      <c r="G7" s="19" t="n">
        <v>8</v>
      </c>
      <c r="H7" s="19" t="n">
        <v>9</v>
      </c>
      <c r="I7" s="21" t="n">
        <v>94.90000000000001</v>
      </c>
      <c r="J7" s="21">
        <f>ROUND(F7*0.3+I7*0.7, 2)</f>
        <v/>
      </c>
      <c r="K7" s="19" t="inlineStr">
        <is>
          <t>综合第4名</t>
        </is>
      </c>
    </row>
    <row r="8" ht="20" customHeight="1">
      <c r="A8" s="26" t="n">
        <v>5</v>
      </c>
      <c r="B8" s="26" t="inlineStr">
        <is>
          <t>262100007114</t>
        </is>
      </c>
      <c r="C8" s="26" t="inlineStr">
        <is>
          <t>男</t>
        </is>
      </c>
      <c r="D8" s="26" t="inlineStr">
        <is>
          <t>是</t>
        </is>
      </c>
      <c r="E8" s="26" t="n">
        <v>6</v>
      </c>
      <c r="F8" s="28" t="n">
        <v>91.5</v>
      </c>
      <c r="G8" s="26" t="n">
        <v>6</v>
      </c>
      <c r="H8" s="26" t="n">
        <v>46</v>
      </c>
      <c r="I8" s="28" t="n">
        <v>93.83</v>
      </c>
      <c r="J8" s="28">
        <f>ROUND(F8*0.3+I8*0.7, 2)</f>
        <v/>
      </c>
      <c r="K8" s="26" t="inlineStr">
        <is>
          <t>综合第5名</t>
        </is>
      </c>
    </row>
    <row r="9" ht="20" customHeight="1">
      <c r="A9" s="19" t="n">
        <v>6</v>
      </c>
      <c r="B9" s="19" t="inlineStr">
        <is>
          <t>262100007002</t>
        </is>
      </c>
      <c r="C9" s="19" t="inlineStr">
        <is>
          <t>男</t>
        </is>
      </c>
      <c r="D9" s="19" t="inlineStr">
        <is>
          <t>是</t>
        </is>
      </c>
      <c r="E9" s="19" t="n">
        <v>4</v>
      </c>
      <c r="F9" s="21" t="n">
        <v>95.5</v>
      </c>
      <c r="G9" s="19" t="n">
        <v>4</v>
      </c>
      <c r="H9" s="19" t="n">
        <v>1</v>
      </c>
      <c r="I9" s="21" t="n">
        <v>91.37</v>
      </c>
      <c r="J9" s="21">
        <f>ROUND(F9*0.3+I9*0.7, 2)</f>
        <v/>
      </c>
      <c r="K9" s="19" t="inlineStr">
        <is>
          <t>综合第6名</t>
        </is>
      </c>
    </row>
    <row r="10" ht="20" customHeight="1">
      <c r="A10" s="26" t="n">
        <v>7</v>
      </c>
      <c r="B10" s="26" t="inlineStr">
        <is>
          <t>262100007044</t>
        </is>
      </c>
      <c r="C10" s="26" t="inlineStr">
        <is>
          <t>男</t>
        </is>
      </c>
      <c r="D10" s="26" t="inlineStr">
        <is>
          <t>是</t>
        </is>
      </c>
      <c r="E10" s="26" t="n">
        <v>16</v>
      </c>
      <c r="F10" s="28" t="n">
        <v>84.5</v>
      </c>
      <c r="G10" s="26" t="n">
        <v>16</v>
      </c>
      <c r="H10" s="26" t="n">
        <v>17</v>
      </c>
      <c r="I10" s="28" t="n">
        <v>95.03</v>
      </c>
      <c r="J10" s="28">
        <f>ROUND(F10*0.3+I10*0.7, 2)</f>
        <v/>
      </c>
      <c r="K10" s="26" t="inlineStr">
        <is>
          <t>综合第7名</t>
        </is>
      </c>
    </row>
    <row r="11" ht="20" customHeight="1">
      <c r="A11" s="19" t="n">
        <v>8</v>
      </c>
      <c r="B11" s="19" t="inlineStr">
        <is>
          <t>262100007156</t>
        </is>
      </c>
      <c r="C11" s="19" t="inlineStr">
        <is>
          <t>男</t>
        </is>
      </c>
      <c r="D11" s="19" t="inlineStr">
        <is>
          <t>是</t>
        </is>
      </c>
      <c r="E11" s="19" t="n">
        <v>9</v>
      </c>
      <c r="F11" s="21" t="n">
        <v>89.5</v>
      </c>
      <c r="G11" s="19" t="n">
        <v>8</v>
      </c>
      <c r="H11" s="19" t="n">
        <v>62</v>
      </c>
      <c r="I11" s="21" t="n">
        <v>91.87</v>
      </c>
      <c r="J11" s="21">
        <f>ROUND(F11*0.3+I11*0.7, 2)</f>
        <v/>
      </c>
      <c r="K11" s="19" t="inlineStr">
        <is>
          <t>综合第8名</t>
        </is>
      </c>
    </row>
    <row r="12" ht="20" customHeight="1">
      <c r="A12" s="26" t="n">
        <v>9</v>
      </c>
      <c r="B12" s="26" t="inlineStr">
        <is>
          <t>262100007029</t>
        </is>
      </c>
      <c r="C12" s="26" t="inlineStr">
        <is>
          <t>男</t>
        </is>
      </c>
      <c r="D12" s="26" t="inlineStr">
        <is>
          <t>是</t>
        </is>
      </c>
      <c r="E12" s="26" t="n">
        <v>11</v>
      </c>
      <c r="F12" s="28" t="n">
        <v>87.5</v>
      </c>
      <c r="G12" s="26" t="n">
        <v>11</v>
      </c>
      <c r="H12" s="26" t="n">
        <v>11</v>
      </c>
      <c r="I12" s="28" t="n">
        <v>92.7</v>
      </c>
      <c r="J12" s="28">
        <f>ROUND(F12*0.3+I12*0.7, 2)</f>
        <v/>
      </c>
      <c r="K12" s="26" t="inlineStr">
        <is>
          <t>综合第9名</t>
        </is>
      </c>
    </row>
    <row r="13" ht="20" customHeight="1">
      <c r="A13" s="19" t="n">
        <v>10</v>
      </c>
      <c r="B13" s="19" t="inlineStr">
        <is>
          <t>262100007008</t>
        </is>
      </c>
      <c r="C13" s="19" t="inlineStr">
        <is>
          <t>男</t>
        </is>
      </c>
      <c r="D13" s="19" t="inlineStr">
        <is>
          <t>是</t>
        </is>
      </c>
      <c r="E13" s="19" t="n">
        <v>30</v>
      </c>
      <c r="F13" s="21" t="n">
        <v>80</v>
      </c>
      <c r="G13" s="19" t="n">
        <v>29</v>
      </c>
      <c r="H13" s="19" t="n">
        <v>5</v>
      </c>
      <c r="I13" s="21" t="n">
        <v>95.03</v>
      </c>
      <c r="J13" s="21">
        <f>ROUND(F13*0.3+I13*0.7, 2)</f>
        <v/>
      </c>
      <c r="K13" s="19" t="inlineStr">
        <is>
          <t>综合第10名</t>
        </is>
      </c>
    </row>
    <row r="14" ht="20" customHeight="1">
      <c r="A14" s="26" t="n">
        <v>11</v>
      </c>
      <c r="B14" s="26" t="inlineStr">
        <is>
          <t>262100007009</t>
        </is>
      </c>
      <c r="C14" s="26" t="inlineStr">
        <is>
          <t>男</t>
        </is>
      </c>
      <c r="D14" s="26" t="inlineStr">
        <is>
          <t>是</t>
        </is>
      </c>
      <c r="E14" s="26" t="n">
        <v>38</v>
      </c>
      <c r="F14" s="28" t="n">
        <v>78.5</v>
      </c>
      <c r="G14" s="26" t="n">
        <v>37</v>
      </c>
      <c r="H14" s="26" t="n">
        <v>6</v>
      </c>
      <c r="I14" s="28" t="n">
        <v>94.67</v>
      </c>
      <c r="J14" s="28">
        <f>ROUND(F14*0.3+I14*0.7, 2)</f>
        <v/>
      </c>
      <c r="K14" s="26" t="inlineStr">
        <is>
          <t>综合第11名</t>
        </is>
      </c>
    </row>
    <row r="15" ht="20" customHeight="1">
      <c r="A15" s="19" t="n">
        <v>12</v>
      </c>
      <c r="B15" s="19" t="inlineStr">
        <is>
          <t>262100007038</t>
        </is>
      </c>
      <c r="C15" s="19" t="inlineStr">
        <is>
          <t>男</t>
        </is>
      </c>
      <c r="D15" s="19" t="inlineStr">
        <is>
          <t>是</t>
        </is>
      </c>
      <c r="E15" s="19" t="n">
        <v>19</v>
      </c>
      <c r="F15" s="21" t="n">
        <v>84</v>
      </c>
      <c r="G15" s="19" t="n">
        <v>19</v>
      </c>
      <c r="H15" s="19" t="n">
        <v>15</v>
      </c>
      <c r="I15" s="21" t="n">
        <v>91.87</v>
      </c>
      <c r="J15" s="21">
        <f>ROUND(F15*0.3+I15*0.7, 2)</f>
        <v/>
      </c>
      <c r="K15" s="19" t="inlineStr">
        <is>
          <t>综合第12名</t>
        </is>
      </c>
    </row>
    <row r="16" ht="20" customHeight="1">
      <c r="A16" s="26" t="n">
        <v>13</v>
      </c>
      <c r="B16" s="26" t="inlineStr">
        <is>
          <t>262100007026</t>
        </is>
      </c>
      <c r="C16" s="26" t="inlineStr">
        <is>
          <t>男</t>
        </is>
      </c>
      <c r="D16" s="26" t="inlineStr">
        <is>
          <t>是</t>
        </is>
      </c>
      <c r="E16" s="26" t="n">
        <v>33</v>
      </c>
      <c r="F16" s="28" t="n">
        <v>79.5</v>
      </c>
      <c r="G16" s="26" t="n">
        <v>31</v>
      </c>
      <c r="H16" s="26" t="n">
        <v>10</v>
      </c>
      <c r="I16" s="28" t="n">
        <v>93.73</v>
      </c>
      <c r="J16" s="28">
        <f>ROUND(F16*0.3+I16*0.7, 2)</f>
        <v/>
      </c>
      <c r="K16" s="26" t="inlineStr">
        <is>
          <t>综合第13名</t>
        </is>
      </c>
    </row>
    <row r="17" ht="20" customHeight="1">
      <c r="A17" s="19" t="n">
        <v>14</v>
      </c>
      <c r="B17" s="19" t="inlineStr">
        <is>
          <t>262100007130</t>
        </is>
      </c>
      <c r="C17" s="19" t="inlineStr">
        <is>
          <t>男</t>
        </is>
      </c>
      <c r="D17" s="19" t="inlineStr">
        <is>
          <t>是</t>
        </is>
      </c>
      <c r="E17" s="19" t="n">
        <v>34</v>
      </c>
      <c r="F17" s="21" t="n">
        <v>79</v>
      </c>
      <c r="G17" s="19" t="n">
        <v>34</v>
      </c>
      <c r="H17" s="19" t="n">
        <v>54</v>
      </c>
      <c r="I17" s="21" t="n">
        <v>93.63</v>
      </c>
      <c r="J17" s="21">
        <f>ROUND(F17*0.3+I17*0.7, 2)</f>
        <v/>
      </c>
      <c r="K17" s="19" t="inlineStr">
        <is>
          <t>综合第14名</t>
        </is>
      </c>
    </row>
    <row r="18" ht="20" customHeight="1">
      <c r="A18" s="26" t="n">
        <v>15</v>
      </c>
      <c r="B18" s="26" t="inlineStr">
        <is>
          <t>262100007084</t>
        </is>
      </c>
      <c r="C18" s="26" t="inlineStr">
        <is>
          <t>男</t>
        </is>
      </c>
      <c r="D18" s="26" t="inlineStr">
        <is>
          <t>是</t>
        </is>
      </c>
      <c r="E18" s="26" t="n">
        <v>17</v>
      </c>
      <c r="F18" s="28" t="n">
        <v>84.5</v>
      </c>
      <c r="G18" s="26" t="n">
        <v>16</v>
      </c>
      <c r="H18" s="26" t="n">
        <v>32</v>
      </c>
      <c r="I18" s="28" t="n">
        <v>90.37</v>
      </c>
      <c r="J18" s="28">
        <f>ROUND(F18*0.3+I18*0.7, 2)</f>
        <v/>
      </c>
      <c r="K18" s="26" t="inlineStr">
        <is>
          <t>综合第15名</t>
        </is>
      </c>
    </row>
    <row r="19" ht="20" customHeight="1">
      <c r="A19" s="19" t="n">
        <v>16</v>
      </c>
      <c r="B19" s="19" t="inlineStr">
        <is>
          <t>262100007094</t>
        </is>
      </c>
      <c r="C19" s="19" t="inlineStr">
        <is>
          <t>男</t>
        </is>
      </c>
      <c r="D19" s="19" t="inlineStr">
        <is>
          <t>是</t>
        </is>
      </c>
      <c r="E19" s="19" t="n">
        <v>37</v>
      </c>
      <c r="F19" s="21" t="n">
        <v>78.5</v>
      </c>
      <c r="G19" s="19" t="n">
        <v>37</v>
      </c>
      <c r="H19" s="19" t="n">
        <v>38</v>
      </c>
      <c r="I19" s="21" t="n">
        <v>92.90000000000001</v>
      </c>
      <c r="J19" s="21">
        <f>ROUND(F19*0.3+I19*0.7, 2)</f>
        <v/>
      </c>
      <c r="K19" s="19" t="inlineStr">
        <is>
          <t>综合第16名</t>
        </is>
      </c>
    </row>
    <row r="20" ht="20" customHeight="1">
      <c r="A20" s="26" t="n">
        <v>17</v>
      </c>
      <c r="B20" s="26" t="inlineStr">
        <is>
          <t>262100007077</t>
        </is>
      </c>
      <c r="C20" s="26" t="inlineStr">
        <is>
          <t>男</t>
        </is>
      </c>
      <c r="D20" s="26" t="inlineStr">
        <is>
          <t>是</t>
        </is>
      </c>
      <c r="E20" s="26" t="n">
        <v>51</v>
      </c>
      <c r="F20" s="28" t="n">
        <v>74.5</v>
      </c>
      <c r="G20" s="26" t="n">
        <v>51</v>
      </c>
      <c r="H20" s="26" t="n">
        <v>28</v>
      </c>
      <c r="I20" s="28" t="n">
        <v>94.23</v>
      </c>
      <c r="J20" s="28">
        <f>ROUND(F20*0.3+I20*0.7, 2)</f>
        <v/>
      </c>
      <c r="K20" s="26" t="inlineStr">
        <is>
          <t>综合第17名</t>
        </is>
      </c>
    </row>
    <row r="21" ht="20" customHeight="1">
      <c r="A21" s="19" t="n">
        <v>18</v>
      </c>
      <c r="B21" s="19" t="inlineStr">
        <is>
          <t>262100007005</t>
        </is>
      </c>
      <c r="C21" s="19" t="inlineStr">
        <is>
          <t>男</t>
        </is>
      </c>
      <c r="D21" s="19" t="inlineStr">
        <is>
          <t>是</t>
        </is>
      </c>
      <c r="E21" s="19" t="n">
        <v>13</v>
      </c>
      <c r="F21" s="21" t="n">
        <v>87</v>
      </c>
      <c r="G21" s="19" t="n">
        <v>13</v>
      </c>
      <c r="H21" s="19" t="n">
        <v>3</v>
      </c>
      <c r="I21" s="21" t="n">
        <v>87.5</v>
      </c>
      <c r="J21" s="21">
        <f>ROUND(F21*0.3+I21*0.7, 2)</f>
        <v/>
      </c>
      <c r="K21" s="19" t="inlineStr">
        <is>
          <t>综合第18名</t>
        </is>
      </c>
    </row>
    <row r="22" ht="20" customHeight="1">
      <c r="A22" s="26" t="n">
        <v>19</v>
      </c>
      <c r="B22" s="26" t="inlineStr">
        <is>
          <t>262100007110</t>
        </is>
      </c>
      <c r="C22" s="26" t="inlineStr">
        <is>
          <t>女</t>
        </is>
      </c>
      <c r="D22" s="26" t="inlineStr">
        <is>
          <t>是</t>
        </is>
      </c>
      <c r="E22" s="26" t="n">
        <v>21</v>
      </c>
      <c r="F22" s="28" t="n">
        <v>83</v>
      </c>
      <c r="G22" s="26" t="n">
        <v>20</v>
      </c>
      <c r="H22" s="26" t="n">
        <v>44</v>
      </c>
      <c r="I22" s="28" t="n">
        <v>89.17</v>
      </c>
      <c r="J22" s="28">
        <f>ROUND(F22*0.3+I22*0.7, 2)</f>
        <v/>
      </c>
      <c r="K22" s="26" t="inlineStr">
        <is>
          <t>综合第19名</t>
        </is>
      </c>
    </row>
    <row r="23" ht="20" customHeight="1">
      <c r="A23" s="19" t="n">
        <v>20</v>
      </c>
      <c r="B23" s="19" t="inlineStr">
        <is>
          <t>262100007157</t>
        </is>
      </c>
      <c r="C23" s="19" t="inlineStr">
        <is>
          <t>男</t>
        </is>
      </c>
      <c r="D23" s="19" t="inlineStr">
        <is>
          <t>是</t>
        </is>
      </c>
      <c r="E23" s="19" t="n">
        <v>5</v>
      </c>
      <c r="F23" s="21" t="n">
        <v>92.5</v>
      </c>
      <c r="G23" s="19" t="n">
        <v>5</v>
      </c>
      <c r="H23" s="19" t="n">
        <v>63</v>
      </c>
      <c r="I23" s="21" t="n">
        <v>84.63</v>
      </c>
      <c r="J23" s="21">
        <f>ROUND(F23*0.3+I23*0.7, 2)</f>
        <v/>
      </c>
      <c r="K23" s="19" t="inlineStr">
        <is>
          <t>综合第20名</t>
        </is>
      </c>
    </row>
    <row r="24" ht="20" customHeight="1">
      <c r="A24" s="26" t="n">
        <v>21</v>
      </c>
      <c r="B24" s="26" t="inlineStr">
        <is>
          <t>262100007098</t>
        </is>
      </c>
      <c r="C24" s="26" t="inlineStr">
        <is>
          <t>男</t>
        </is>
      </c>
      <c r="D24" s="26" t="inlineStr">
        <is>
          <t>是</t>
        </is>
      </c>
      <c r="E24" s="26" t="n">
        <v>10</v>
      </c>
      <c r="F24" s="28" t="n">
        <v>88</v>
      </c>
      <c r="G24" s="26" t="n">
        <v>10</v>
      </c>
      <c r="H24" s="26" t="n">
        <v>41</v>
      </c>
      <c r="I24" s="28" t="n">
        <v>85.90000000000001</v>
      </c>
      <c r="J24" s="28">
        <f>ROUND(F24*0.3+I24*0.7, 2)</f>
        <v/>
      </c>
      <c r="K24" s="26" t="inlineStr">
        <is>
          <t>综合第21名</t>
        </is>
      </c>
    </row>
    <row r="25" ht="20" customHeight="1">
      <c r="A25" s="19" t="n">
        <v>22</v>
      </c>
      <c r="B25" s="19" t="inlineStr">
        <is>
          <t>262100007037</t>
        </is>
      </c>
      <c r="C25" s="19" t="inlineStr">
        <is>
          <t>男</t>
        </is>
      </c>
      <c r="D25" s="19" t="inlineStr">
        <is>
          <t>是</t>
        </is>
      </c>
      <c r="E25" s="19" t="n">
        <v>26</v>
      </c>
      <c r="F25" s="21" t="n">
        <v>81</v>
      </c>
      <c r="G25" s="19" t="n">
        <v>25</v>
      </c>
      <c r="H25" s="19" t="n">
        <v>14</v>
      </c>
      <c r="I25" s="21" t="n">
        <v>88.56999999999999</v>
      </c>
      <c r="J25" s="21">
        <f>ROUND(F25*0.3+I25*0.7, 2)</f>
        <v/>
      </c>
      <c r="K25" s="19" t="inlineStr">
        <is>
          <t>综合第22名</t>
        </is>
      </c>
    </row>
    <row r="26" ht="20" customHeight="1">
      <c r="A26" s="26" t="n">
        <v>23</v>
      </c>
      <c r="B26" s="26" t="inlineStr">
        <is>
          <t>262100007099</t>
        </is>
      </c>
      <c r="C26" s="26" t="inlineStr">
        <is>
          <t>男</t>
        </is>
      </c>
      <c r="D26" s="26" t="inlineStr">
        <is>
          <t>是</t>
        </is>
      </c>
      <c r="E26" s="26" t="n">
        <v>35</v>
      </c>
      <c r="F26" s="28" t="n">
        <v>79</v>
      </c>
      <c r="G26" s="26" t="n">
        <v>34</v>
      </c>
      <c r="H26" s="26" t="n">
        <v>42</v>
      </c>
      <c r="I26" s="28" t="n">
        <v>88.56999999999999</v>
      </c>
      <c r="J26" s="28">
        <f>ROUND(F26*0.3+I26*0.7, 2)</f>
        <v/>
      </c>
      <c r="K26" s="26" t="inlineStr">
        <is>
          <t>综合第23名</t>
        </is>
      </c>
    </row>
    <row r="27" ht="20" customHeight="1">
      <c r="A27" s="19" t="n">
        <v>24</v>
      </c>
      <c r="B27" s="19" t="inlineStr">
        <is>
          <t>262100007088</t>
        </is>
      </c>
      <c r="C27" s="19" t="inlineStr">
        <is>
          <t>女</t>
        </is>
      </c>
      <c r="D27" s="19" t="inlineStr">
        <is>
          <t>是</t>
        </is>
      </c>
      <c r="E27" s="19" t="n">
        <v>43</v>
      </c>
      <c r="F27" s="21" t="n">
        <v>77</v>
      </c>
      <c r="G27" s="19" t="n">
        <v>43</v>
      </c>
      <c r="H27" s="19" t="n">
        <v>35</v>
      </c>
      <c r="I27" s="21" t="n">
        <v>89.37</v>
      </c>
      <c r="J27" s="21">
        <f>ROUND(F27*0.3+I27*0.7, 2)</f>
        <v/>
      </c>
      <c r="K27" s="19" t="inlineStr">
        <is>
          <t>综合第24名</t>
        </is>
      </c>
    </row>
    <row r="28" ht="20" customHeight="1">
      <c r="A28" s="26" t="n">
        <v>25</v>
      </c>
      <c r="B28" s="26" t="inlineStr">
        <is>
          <t>262100007078</t>
        </is>
      </c>
      <c r="C28" s="26" t="inlineStr">
        <is>
          <t>男</t>
        </is>
      </c>
      <c r="D28" s="26" t="inlineStr">
        <is>
          <t>是</t>
        </is>
      </c>
      <c r="E28" s="26" t="n">
        <v>52</v>
      </c>
      <c r="F28" s="28" t="n">
        <v>74.5</v>
      </c>
      <c r="G28" s="26" t="n">
        <v>51</v>
      </c>
      <c r="H28" s="26" t="n">
        <v>29</v>
      </c>
      <c r="I28" s="28" t="n">
        <v>90.43000000000001</v>
      </c>
      <c r="J28" s="28">
        <f>ROUND(F28*0.3+I28*0.7, 2)</f>
        <v/>
      </c>
      <c r="K28" s="26" t="inlineStr">
        <is>
          <t>综合第25名</t>
        </is>
      </c>
    </row>
    <row r="29" ht="20" customHeight="1">
      <c r="A29" s="19" t="n">
        <v>26</v>
      </c>
      <c r="B29" s="19" t="inlineStr">
        <is>
          <t>262100007087</t>
        </is>
      </c>
      <c r="C29" s="19" t="inlineStr">
        <is>
          <t>男</t>
        </is>
      </c>
      <c r="D29" s="19" t="inlineStr">
        <is>
          <t>是</t>
        </is>
      </c>
      <c r="E29" s="19" t="n">
        <v>25</v>
      </c>
      <c r="F29" s="21" t="n">
        <v>81</v>
      </c>
      <c r="G29" s="19" t="n">
        <v>25</v>
      </c>
      <c r="H29" s="19" t="n">
        <v>34</v>
      </c>
      <c r="I29" s="21" t="n">
        <v>87.63</v>
      </c>
      <c r="J29" s="21">
        <f>ROUND(F29*0.3+I29*0.7, 2)</f>
        <v/>
      </c>
      <c r="K29" s="19" t="inlineStr">
        <is>
          <t>综合第26名</t>
        </is>
      </c>
    </row>
    <row r="30" ht="20" customHeight="1">
      <c r="A30" s="26" t="n">
        <v>27</v>
      </c>
      <c r="B30" s="26" t="inlineStr">
        <is>
          <t>262100007134</t>
        </is>
      </c>
      <c r="C30" s="26" t="inlineStr">
        <is>
          <t>男</t>
        </is>
      </c>
      <c r="D30" s="26" t="inlineStr">
        <is>
          <t>是</t>
        </is>
      </c>
      <c r="E30" s="26" t="n">
        <v>36</v>
      </c>
      <c r="F30" s="28" t="n">
        <v>79</v>
      </c>
      <c r="G30" s="26" t="n">
        <v>34</v>
      </c>
      <c r="H30" s="26" t="n">
        <v>55</v>
      </c>
      <c r="I30" s="28" t="n">
        <v>87.90000000000001</v>
      </c>
      <c r="J30" s="28">
        <f>ROUND(F30*0.3+I30*0.7, 2)</f>
        <v/>
      </c>
      <c r="K30" s="26" t="inlineStr">
        <is>
          <t>综合第27名</t>
        </is>
      </c>
    </row>
    <row r="31" ht="20" customHeight="1">
      <c r="A31" s="19" t="n">
        <v>28</v>
      </c>
      <c r="B31" s="19" t="inlineStr">
        <is>
          <t>262100007096</t>
        </is>
      </c>
      <c r="C31" s="19" t="inlineStr">
        <is>
          <t>男</t>
        </is>
      </c>
      <c r="D31" s="19" t="inlineStr">
        <is>
          <t>是</t>
        </is>
      </c>
      <c r="E31" s="19" t="n">
        <v>50</v>
      </c>
      <c r="F31" s="21" t="n">
        <v>75</v>
      </c>
      <c r="G31" s="19" t="n">
        <v>49</v>
      </c>
      <c r="H31" s="19" t="n">
        <v>39</v>
      </c>
      <c r="I31" s="21" t="n">
        <v>89.43000000000001</v>
      </c>
      <c r="J31" s="21">
        <f>ROUND(F31*0.3+I31*0.7, 2)</f>
        <v/>
      </c>
      <c r="K31" s="19" t="inlineStr">
        <is>
          <t>综合第28名</t>
        </is>
      </c>
    </row>
    <row r="32" ht="20" customHeight="1">
      <c r="A32" s="26" t="n">
        <v>29</v>
      </c>
      <c r="B32" s="26" t="inlineStr">
        <is>
          <t>262100007129</t>
        </is>
      </c>
      <c r="C32" s="26" t="inlineStr">
        <is>
          <t>男</t>
        </is>
      </c>
      <c r="D32" s="26" t="inlineStr">
        <is>
          <t>是</t>
        </is>
      </c>
      <c r="E32" s="26" t="n">
        <v>63</v>
      </c>
      <c r="F32" s="28" t="n">
        <v>67.5</v>
      </c>
      <c r="G32" s="26" t="n">
        <v>61</v>
      </c>
      <c r="H32" s="26" t="n">
        <v>53</v>
      </c>
      <c r="I32" s="28" t="n">
        <v>92.63</v>
      </c>
      <c r="J32" s="28">
        <f>ROUND(F32*0.3+I32*0.7, 2)</f>
        <v/>
      </c>
      <c r="K32" s="26" t="inlineStr">
        <is>
          <t>综合第29名</t>
        </is>
      </c>
    </row>
    <row r="33" ht="20" customHeight="1">
      <c r="A33" s="19" t="n">
        <v>30</v>
      </c>
      <c r="B33" s="19" t="inlineStr">
        <is>
          <t>262100007160</t>
        </is>
      </c>
      <c r="C33" s="19" t="inlineStr">
        <is>
          <t>男</t>
        </is>
      </c>
      <c r="D33" s="19" t="inlineStr">
        <is>
          <t>是</t>
        </is>
      </c>
      <c r="E33" s="19" t="n">
        <v>47</v>
      </c>
      <c r="F33" s="21" t="n">
        <v>76</v>
      </c>
      <c r="G33" s="19" t="n">
        <v>45</v>
      </c>
      <c r="H33" s="19" t="n">
        <v>65</v>
      </c>
      <c r="I33" s="21" t="n">
        <v>88.77</v>
      </c>
      <c r="J33" s="21">
        <f>ROUND(F33*0.3+I33*0.7, 2)</f>
        <v/>
      </c>
      <c r="K33" s="19" t="inlineStr">
        <is>
          <t>综合第30名</t>
        </is>
      </c>
    </row>
    <row r="34" ht="20" customHeight="1">
      <c r="A34" s="26" t="n">
        <v>31</v>
      </c>
      <c r="B34" s="26" t="inlineStr">
        <is>
          <t>262100007120</t>
        </is>
      </c>
      <c r="C34" s="26" t="inlineStr">
        <is>
          <t>男</t>
        </is>
      </c>
      <c r="D34" s="26" t="inlineStr">
        <is>
          <t>是</t>
        </is>
      </c>
      <c r="E34" s="26" t="n">
        <v>64</v>
      </c>
      <c r="F34" s="28" t="n">
        <v>67</v>
      </c>
      <c r="G34" s="26" t="n">
        <v>64</v>
      </c>
      <c r="H34" s="26" t="n">
        <v>48</v>
      </c>
      <c r="I34" s="28" t="n">
        <v>92.3</v>
      </c>
      <c r="J34" s="28">
        <f>ROUND(F34*0.3+I34*0.7, 2)</f>
        <v/>
      </c>
      <c r="K34" s="26" t="inlineStr">
        <is>
          <t>综合第31名</t>
        </is>
      </c>
    </row>
    <row r="35" ht="20" customHeight="1">
      <c r="A35" s="19" t="n">
        <v>32</v>
      </c>
      <c r="B35" s="19" t="inlineStr">
        <is>
          <t>262100007187</t>
        </is>
      </c>
      <c r="C35" s="19" t="inlineStr">
        <is>
          <t>男</t>
        </is>
      </c>
      <c r="D35" s="19" t="inlineStr">
        <is>
          <t>是</t>
        </is>
      </c>
      <c r="E35" s="19" t="n">
        <v>46</v>
      </c>
      <c r="F35" s="21" t="n">
        <v>76</v>
      </c>
      <c r="G35" s="19" t="n">
        <v>45</v>
      </c>
      <c r="H35" s="19" t="n">
        <v>70</v>
      </c>
      <c r="I35" s="21" t="n">
        <v>88.13</v>
      </c>
      <c r="J35" s="21">
        <f>ROUND(F35*0.3+I35*0.7, 2)</f>
        <v/>
      </c>
      <c r="K35" s="19" t="inlineStr">
        <is>
          <t>综合第32名</t>
        </is>
      </c>
    </row>
    <row r="36" ht="20" customHeight="1">
      <c r="A36" s="26" t="n">
        <v>33</v>
      </c>
      <c r="B36" s="26" t="inlineStr">
        <is>
          <t>262100007151</t>
        </is>
      </c>
      <c r="C36" s="26" t="inlineStr">
        <is>
          <t>男</t>
        </is>
      </c>
      <c r="D36" s="26" t="inlineStr">
        <is>
          <t>是</t>
        </is>
      </c>
      <c r="E36" s="26" t="n">
        <v>15</v>
      </c>
      <c r="F36" s="28" t="n">
        <v>85.5</v>
      </c>
      <c r="G36" s="26" t="n">
        <v>15</v>
      </c>
      <c r="H36" s="26" t="n">
        <v>59</v>
      </c>
      <c r="I36" s="28" t="n">
        <v>83.3</v>
      </c>
      <c r="J36" s="28">
        <f>ROUND(F36*0.3+I36*0.7, 2)</f>
        <v/>
      </c>
      <c r="K36" s="26" t="inlineStr">
        <is>
          <t>综合第33名</t>
        </is>
      </c>
    </row>
    <row r="37" ht="20" customHeight="1">
      <c r="A37" s="19" t="n">
        <v>34</v>
      </c>
      <c r="B37" s="19" t="inlineStr">
        <is>
          <t>262100007071</t>
        </is>
      </c>
      <c r="C37" s="19" t="inlineStr">
        <is>
          <t>女</t>
        </is>
      </c>
      <c r="D37" s="19" t="inlineStr">
        <is>
          <t>是</t>
        </is>
      </c>
      <c r="E37" s="19" t="n">
        <v>53</v>
      </c>
      <c r="F37" s="21" t="n">
        <v>74</v>
      </c>
      <c r="G37" s="19" t="n">
        <v>53</v>
      </c>
      <c r="H37" s="19" t="n">
        <v>26</v>
      </c>
      <c r="I37" s="21" t="n">
        <v>87.56999999999999</v>
      </c>
      <c r="J37" s="21">
        <f>ROUND(F37*0.3+I37*0.7, 2)</f>
        <v/>
      </c>
      <c r="K37" s="19" t="inlineStr">
        <is>
          <t>综合第34名</t>
        </is>
      </c>
    </row>
    <row r="38" ht="20" customHeight="1">
      <c r="A38" s="26" t="n">
        <v>35</v>
      </c>
      <c r="B38" s="26" t="inlineStr">
        <is>
          <t>262100007056</t>
        </is>
      </c>
      <c r="C38" s="26" t="inlineStr">
        <is>
          <t>男</t>
        </is>
      </c>
      <c r="D38" s="26" t="inlineStr">
        <is>
          <t>是</t>
        </is>
      </c>
      <c r="E38" s="26" t="n">
        <v>12</v>
      </c>
      <c r="F38" s="28" t="n">
        <v>87.5</v>
      </c>
      <c r="G38" s="26" t="n">
        <v>11</v>
      </c>
      <c r="H38" s="26" t="n">
        <v>20</v>
      </c>
      <c r="I38" s="28" t="n">
        <v>81.3</v>
      </c>
      <c r="J38" s="28">
        <f>ROUND(F38*0.3+I38*0.7, 2)</f>
        <v/>
      </c>
      <c r="K38" s="26" t="inlineStr">
        <is>
          <t>综合第35名</t>
        </is>
      </c>
    </row>
    <row r="39" ht="20" customHeight="1">
      <c r="A39" s="19" t="n">
        <v>36</v>
      </c>
      <c r="B39" s="19" t="inlineStr">
        <is>
          <t>262100007069</t>
        </is>
      </c>
      <c r="C39" s="19" t="inlineStr">
        <is>
          <t>男</t>
        </is>
      </c>
      <c r="D39" s="19" t="inlineStr">
        <is>
          <t>是</t>
        </is>
      </c>
      <c r="E39" s="19" t="n">
        <v>69</v>
      </c>
      <c r="F39" s="21" t="n">
        <v>65</v>
      </c>
      <c r="G39" s="19" t="n">
        <v>67</v>
      </c>
      <c r="H39" s="19" t="n">
        <v>25</v>
      </c>
      <c r="I39" s="21" t="n">
        <v>89.97</v>
      </c>
      <c r="J39" s="21">
        <f>ROUND(F39*0.3+I39*0.7, 2)</f>
        <v/>
      </c>
      <c r="K39" s="19" t="inlineStr">
        <is>
          <t>综合第36名</t>
        </is>
      </c>
    </row>
    <row r="40" ht="20" customHeight="1">
      <c r="A40" s="26" t="n">
        <v>37</v>
      </c>
      <c r="B40" s="26" t="inlineStr">
        <is>
          <t>262100007181</t>
        </is>
      </c>
      <c r="C40" s="26" t="inlineStr">
        <is>
          <t>男</t>
        </is>
      </c>
      <c r="D40" s="26" t="inlineStr">
        <is>
          <t>是</t>
        </is>
      </c>
      <c r="E40" s="26" t="n">
        <v>59</v>
      </c>
      <c r="F40" s="28" t="n">
        <v>71</v>
      </c>
      <c r="G40" s="26" t="n">
        <v>58</v>
      </c>
      <c r="H40" s="26" t="n">
        <v>67</v>
      </c>
      <c r="I40" s="28" t="n">
        <v>87.3</v>
      </c>
      <c r="J40" s="28">
        <f>ROUND(F40*0.3+I40*0.7, 2)</f>
        <v/>
      </c>
      <c r="K40" s="26" t="inlineStr">
        <is>
          <t>综合第37名</t>
        </is>
      </c>
    </row>
    <row r="41" ht="20" customHeight="1">
      <c r="A41" s="19" t="n">
        <v>38</v>
      </c>
      <c r="B41" s="19" t="inlineStr">
        <is>
          <t>262100007085</t>
        </is>
      </c>
      <c r="C41" s="19" t="inlineStr">
        <is>
          <t>男</t>
        </is>
      </c>
      <c r="D41" s="19" t="inlineStr">
        <is>
          <t>是</t>
        </is>
      </c>
      <c r="E41" s="19" t="n">
        <v>40</v>
      </c>
      <c r="F41" s="21" t="n">
        <v>78.5</v>
      </c>
      <c r="G41" s="19" t="n">
        <v>37</v>
      </c>
      <c r="H41" s="19" t="n">
        <v>33</v>
      </c>
      <c r="I41" s="21" t="n">
        <v>83.97</v>
      </c>
      <c r="J41" s="21">
        <f>ROUND(F41*0.3+I41*0.7, 2)</f>
        <v/>
      </c>
      <c r="K41" s="19" t="inlineStr">
        <is>
          <t>综合第38名</t>
        </is>
      </c>
    </row>
    <row r="42" ht="20" customHeight="1">
      <c r="A42" s="26" t="n">
        <v>39</v>
      </c>
      <c r="B42" s="26" t="inlineStr">
        <is>
          <t>262100007124</t>
        </is>
      </c>
      <c r="C42" s="26" t="inlineStr">
        <is>
          <t>男</t>
        </is>
      </c>
      <c r="D42" s="26" t="inlineStr">
        <is>
          <t>是</t>
        </is>
      </c>
      <c r="E42" s="26" t="n">
        <v>67</v>
      </c>
      <c r="F42" s="28" t="n">
        <v>65</v>
      </c>
      <c r="G42" s="26" t="n">
        <v>67</v>
      </c>
      <c r="H42" s="26" t="n">
        <v>50</v>
      </c>
      <c r="I42" s="28" t="n">
        <v>88.27</v>
      </c>
      <c r="J42" s="28">
        <f>ROUND(F42*0.3+I42*0.7, 2)</f>
        <v/>
      </c>
      <c r="K42" s="26" t="inlineStr">
        <is>
          <t>综合第39名</t>
        </is>
      </c>
    </row>
    <row r="43" ht="20" customHeight="1">
      <c r="A43" s="19" t="n">
        <v>40</v>
      </c>
      <c r="B43" s="19" t="inlineStr">
        <is>
          <t>262100007051</t>
        </is>
      </c>
      <c r="C43" s="19" t="inlineStr">
        <is>
          <t>男</t>
        </is>
      </c>
      <c r="D43" s="19" t="inlineStr">
        <is>
          <t>是</t>
        </is>
      </c>
      <c r="E43" s="19" t="n">
        <v>39</v>
      </c>
      <c r="F43" s="21" t="n">
        <v>78.5</v>
      </c>
      <c r="G43" s="19" t="n">
        <v>37</v>
      </c>
      <c r="H43" s="19" t="n">
        <v>19</v>
      </c>
      <c r="I43" s="21" t="n">
        <v>82.03</v>
      </c>
      <c r="J43" s="21">
        <f>ROUND(F43*0.3+I43*0.7, 2)</f>
        <v/>
      </c>
      <c r="K43" s="19" t="inlineStr">
        <is>
          <t>综合第40名</t>
        </is>
      </c>
    </row>
    <row r="44" ht="20" customHeight="1">
      <c r="A44" s="26" t="n">
        <v>41</v>
      </c>
      <c r="B44" s="26" t="inlineStr">
        <is>
          <t>262100007154</t>
        </is>
      </c>
      <c r="C44" s="26" t="inlineStr">
        <is>
          <t>男</t>
        </is>
      </c>
      <c r="D44" s="26" t="inlineStr">
        <is>
          <t>是</t>
        </is>
      </c>
      <c r="E44" s="26" t="n">
        <v>14</v>
      </c>
      <c r="F44" s="28" t="n">
        <v>86.5</v>
      </c>
      <c r="G44" s="26" t="n">
        <v>14</v>
      </c>
      <c r="H44" s="26" t="n">
        <v>61</v>
      </c>
      <c r="I44" s="28" t="n">
        <v>77.90000000000001</v>
      </c>
      <c r="J44" s="28">
        <f>ROUND(F44*0.3+I44*0.7, 2)</f>
        <v/>
      </c>
      <c r="K44" s="26" t="inlineStr">
        <is>
          <t>综合第41名</t>
        </is>
      </c>
    </row>
    <row r="45" ht="20" customHeight="1">
      <c r="A45" s="19" t="n">
        <v>42</v>
      </c>
      <c r="B45" s="19" t="inlineStr">
        <is>
          <t>262100007003</t>
        </is>
      </c>
      <c r="C45" s="19" t="inlineStr">
        <is>
          <t>男</t>
        </is>
      </c>
      <c r="D45" s="19" t="inlineStr">
        <is>
          <t>是</t>
        </is>
      </c>
      <c r="E45" s="19" t="n">
        <v>49</v>
      </c>
      <c r="F45" s="21" t="n">
        <v>75</v>
      </c>
      <c r="G45" s="19" t="n">
        <v>49</v>
      </c>
      <c r="H45" s="19" t="n">
        <v>2</v>
      </c>
      <c r="I45" s="21" t="n">
        <v>80.37</v>
      </c>
      <c r="J45" s="21">
        <f>ROUND(F45*0.3+I45*0.7, 2)</f>
        <v/>
      </c>
      <c r="K45" s="19" t="inlineStr">
        <is>
          <t>综合第42名</t>
        </is>
      </c>
    </row>
    <row r="46" ht="20" customHeight="1">
      <c r="A46" s="26" t="n">
        <v>43</v>
      </c>
      <c r="B46" s="26" t="inlineStr">
        <is>
          <t>262100007067</t>
        </is>
      </c>
      <c r="C46" s="26" t="inlineStr">
        <is>
          <t>男</t>
        </is>
      </c>
      <c r="D46" s="26" t="inlineStr">
        <is>
          <t>是</t>
        </is>
      </c>
      <c r="E46" s="26" t="n">
        <v>65</v>
      </c>
      <c r="F46" s="28" t="n">
        <v>66</v>
      </c>
      <c r="G46" s="26" t="n">
        <v>65</v>
      </c>
      <c r="H46" s="26" t="n">
        <v>24</v>
      </c>
      <c r="I46" s="28" t="n">
        <v>83.77</v>
      </c>
      <c r="J46" s="28">
        <f>ROUND(F46*0.3+I46*0.7, 2)</f>
        <v/>
      </c>
      <c r="K46" s="26" t="inlineStr">
        <is>
          <t>综合第43名</t>
        </is>
      </c>
    </row>
    <row r="47" ht="20" customHeight="1">
      <c r="A47" s="19" t="n">
        <v>44</v>
      </c>
      <c r="B47" s="19" t="inlineStr">
        <is>
          <t>262100007079</t>
        </is>
      </c>
      <c r="C47" s="19" t="inlineStr">
        <is>
          <t>男</t>
        </is>
      </c>
      <c r="D47" s="19" t="inlineStr">
        <is>
          <t>是</t>
        </is>
      </c>
      <c r="E47" s="19" t="n">
        <v>58</v>
      </c>
      <c r="F47" s="21" t="n">
        <v>71</v>
      </c>
      <c r="G47" s="19" t="n">
        <v>58</v>
      </c>
      <c r="H47" s="19" t="n">
        <v>30</v>
      </c>
      <c r="I47" s="21" t="n">
        <v>81.27</v>
      </c>
      <c r="J47" s="21">
        <f>ROUND(F47*0.3+I47*0.7, 2)</f>
        <v/>
      </c>
      <c r="K47" s="19" t="inlineStr">
        <is>
          <t>综合第44名</t>
        </is>
      </c>
    </row>
    <row r="48" ht="20" customHeight="1">
      <c r="A48" s="26" t="n">
        <v>45</v>
      </c>
      <c r="B48" s="26" t="inlineStr">
        <is>
          <t>262100007064</t>
        </is>
      </c>
      <c r="C48" s="26" t="inlineStr">
        <is>
          <t>男</t>
        </is>
      </c>
      <c r="D48" s="26" t="inlineStr">
        <is>
          <t>是</t>
        </is>
      </c>
      <c r="E48" s="26" t="n">
        <v>32</v>
      </c>
      <c r="F48" s="28" t="n">
        <v>79.5</v>
      </c>
      <c r="G48" s="26" t="n">
        <v>31</v>
      </c>
      <c r="H48" s="26" t="n">
        <v>22</v>
      </c>
      <c r="I48" s="28" t="n">
        <v>75.56999999999999</v>
      </c>
      <c r="J48" s="28">
        <f>ROUND(F48*0.3+I48*0.7, 2)</f>
        <v/>
      </c>
      <c r="K48" s="26" t="inlineStr">
        <is>
          <t>综合第45名</t>
        </is>
      </c>
    </row>
    <row r="49" ht="20" customHeight="1">
      <c r="A49" s="19" t="n">
        <v>46</v>
      </c>
      <c r="B49" s="19" t="inlineStr">
        <is>
          <t>262100007093</t>
        </is>
      </c>
      <c r="C49" s="19" t="inlineStr">
        <is>
          <t>男</t>
        </is>
      </c>
      <c r="D49" s="19" t="inlineStr">
        <is>
          <t>是</t>
        </is>
      </c>
      <c r="E49" s="19" t="n">
        <v>23</v>
      </c>
      <c r="F49" s="21" t="n">
        <v>82</v>
      </c>
      <c r="G49" s="19" t="n">
        <v>22</v>
      </c>
      <c r="H49" s="19" t="n">
        <v>37</v>
      </c>
      <c r="I49" s="21" t="n">
        <v>70.97</v>
      </c>
      <c r="J49" s="21">
        <f>ROUND(F49*0.3+I49*0.7, 2)</f>
        <v/>
      </c>
      <c r="K49" s="19" t="inlineStr">
        <is>
          <t>综合第46名</t>
        </is>
      </c>
    </row>
    <row r="50" ht="20" customHeight="1">
      <c r="A50" s="26" t="n">
        <v>47</v>
      </c>
      <c r="B50" s="26" t="inlineStr">
        <is>
          <t>262100007152</t>
        </is>
      </c>
      <c r="C50" s="26" t="inlineStr">
        <is>
          <t>女</t>
        </is>
      </c>
      <c r="D50" s="26" t="inlineStr">
        <is>
          <t>是</t>
        </is>
      </c>
      <c r="E50" s="26" t="n">
        <v>31</v>
      </c>
      <c r="F50" s="28" t="n">
        <v>79.5</v>
      </c>
      <c r="G50" s="26" t="n">
        <v>31</v>
      </c>
      <c r="H50" s="26" t="n">
        <v>60</v>
      </c>
      <c r="I50" s="28" t="n">
        <v>69.5</v>
      </c>
      <c r="J50" s="28">
        <f>ROUND(F50*0.3+I50*0.7, 2)</f>
        <v/>
      </c>
      <c r="K50" s="26" t="inlineStr">
        <is>
          <t>综合第47名</t>
        </is>
      </c>
    </row>
    <row r="51" ht="20" customHeight="1">
      <c r="A51" s="19" t="n">
        <v>48</v>
      </c>
      <c r="B51" s="19" t="inlineStr">
        <is>
          <t>262100007063</t>
        </is>
      </c>
      <c r="C51" s="19" t="inlineStr">
        <is>
          <t>男</t>
        </is>
      </c>
      <c r="D51" s="19" t="inlineStr">
        <is>
          <t>是</t>
        </is>
      </c>
      <c r="E51" s="19" t="n">
        <v>7</v>
      </c>
      <c r="F51" s="21" t="n">
        <v>91</v>
      </c>
      <c r="G51" s="19" t="n">
        <v>7</v>
      </c>
      <c r="H51" s="19" t="n">
        <v>21</v>
      </c>
      <c r="I51" s="21" t="n">
        <v>61.7</v>
      </c>
      <c r="J51" s="21">
        <f>ROUND(F51*0.3+I51*0.7, 2)</f>
        <v/>
      </c>
      <c r="K51" s="19" t="inlineStr">
        <is>
          <t>综合第48名</t>
        </is>
      </c>
    </row>
    <row r="52" ht="20" customHeight="1">
      <c r="A52" s="26" t="n">
        <v>49</v>
      </c>
      <c r="B52" s="26" t="inlineStr">
        <is>
          <t>262100007147</t>
        </is>
      </c>
      <c r="C52" s="26" t="inlineStr">
        <is>
          <t>男</t>
        </is>
      </c>
      <c r="D52" s="26" t="inlineStr">
        <is>
          <t>是</t>
        </is>
      </c>
      <c r="E52" s="26" t="n">
        <v>70</v>
      </c>
      <c r="F52" s="28" t="n">
        <v>63.5</v>
      </c>
      <c r="G52" s="26" t="n">
        <v>70</v>
      </c>
      <c r="H52" s="26" t="n">
        <v>58</v>
      </c>
      <c r="I52" s="28" t="n">
        <v>70.53</v>
      </c>
      <c r="J52" s="28">
        <f>ROUND(F52*0.3+I52*0.7, 2)</f>
        <v/>
      </c>
      <c r="K52" s="26" t="inlineStr">
        <is>
          <t>综合第49名</t>
        </is>
      </c>
    </row>
    <row r="53" ht="20" customHeight="1">
      <c r="A53" s="19" t="n">
        <v>50</v>
      </c>
      <c r="B53" s="19" t="inlineStr">
        <is>
          <t>262100007121</t>
        </is>
      </c>
      <c r="C53" s="19" t="inlineStr">
        <is>
          <t>男</t>
        </is>
      </c>
      <c r="D53" s="19" t="inlineStr">
        <is>
          <t>是</t>
        </is>
      </c>
      <c r="E53" s="19" t="n">
        <v>22</v>
      </c>
      <c r="F53" s="21" t="n">
        <v>82</v>
      </c>
      <c r="G53" s="19" t="n">
        <v>22</v>
      </c>
      <c r="H53" s="19" t="n">
        <v>49</v>
      </c>
      <c r="I53" s="21" t="n">
        <v>43.23</v>
      </c>
      <c r="J53" s="21">
        <f>ROUND(F53*0.3+I53*0.7, 2)</f>
        <v/>
      </c>
      <c r="K53" s="19" t="inlineStr">
        <is>
          <t>综合第50名</t>
        </is>
      </c>
    </row>
    <row r="54" ht="20" customHeight="1">
      <c r="A54" s="26" t="n">
        <v>51</v>
      </c>
      <c r="B54" s="26" t="inlineStr">
        <is>
          <t>262100007106</t>
        </is>
      </c>
      <c r="C54" s="26" t="inlineStr">
        <is>
          <t>女</t>
        </is>
      </c>
      <c r="D54" s="26" t="inlineStr">
        <is>
          <t>是</t>
        </is>
      </c>
      <c r="E54" s="26" t="n">
        <v>41</v>
      </c>
      <c r="F54" s="28" t="n">
        <v>77.5</v>
      </c>
      <c r="G54" s="26" t="n">
        <v>41</v>
      </c>
      <c r="H54" s="26" t="n">
        <v>43</v>
      </c>
      <c r="I54" s="28" t="n">
        <v>43.97</v>
      </c>
      <c r="J54" s="28">
        <f>ROUND(F54*0.3+I54*0.7, 2)</f>
        <v/>
      </c>
      <c r="K54" s="26" t="inlineStr">
        <is>
          <t>综合第51名</t>
        </is>
      </c>
    </row>
    <row r="55" ht="20" customHeight="1">
      <c r="A55" s="19" t="n">
        <v>52</v>
      </c>
      <c r="B55" s="19" t="inlineStr">
        <is>
          <t>262100007145</t>
        </is>
      </c>
      <c r="C55" s="19" t="inlineStr">
        <is>
          <t>女</t>
        </is>
      </c>
      <c r="D55" s="19" t="inlineStr">
        <is>
          <t>是</t>
        </is>
      </c>
      <c r="E55" s="19" t="n">
        <v>42</v>
      </c>
      <c r="F55" s="21" t="n">
        <v>77.5</v>
      </c>
      <c r="G55" s="19" t="n">
        <v>41</v>
      </c>
      <c r="H55" s="19" t="n">
        <v>57</v>
      </c>
      <c r="I55" s="21" t="n">
        <v>32.83</v>
      </c>
      <c r="J55" s="21">
        <f>ROUND(F55*0.3+I55*0.7, 2)</f>
        <v/>
      </c>
      <c r="K55" s="19" t="inlineStr">
        <is>
          <t>综合第52名</t>
        </is>
      </c>
    </row>
    <row r="56" ht="20" customHeight="1">
      <c r="A56" s="26" t="n">
        <v>53</v>
      </c>
      <c r="B56" s="26" t="inlineStr">
        <is>
          <t>262100007034</t>
        </is>
      </c>
      <c r="C56" s="26" t="inlineStr">
        <is>
          <t>男</t>
        </is>
      </c>
      <c r="D56" s="26" t="inlineStr">
        <is>
          <t>是</t>
        </is>
      </c>
      <c r="E56" s="26" t="n">
        <v>18</v>
      </c>
      <c r="F56" s="28" t="n">
        <v>84.5</v>
      </c>
      <c r="G56" s="26" t="n">
        <v>16</v>
      </c>
      <c r="H56" s="26" t="n">
        <v>13</v>
      </c>
      <c r="I56" s="28" t="n">
        <v>22.53</v>
      </c>
      <c r="J56" s="28">
        <f>ROUND(F56*0.3+I56*0.7, 2)</f>
        <v/>
      </c>
      <c r="K56" s="26" t="inlineStr">
        <is>
          <t>综合第53名</t>
        </is>
      </c>
    </row>
    <row r="57" ht="20" customHeight="1">
      <c r="A57" s="19" t="n">
        <v>54</v>
      </c>
      <c r="B57" s="19" t="inlineStr">
        <is>
          <t>262100007128</t>
        </is>
      </c>
      <c r="C57" s="19" t="inlineStr">
        <is>
          <t>男</t>
        </is>
      </c>
      <c r="D57" s="19" t="inlineStr">
        <is>
          <t>是</t>
        </is>
      </c>
      <c r="E57" s="19" t="n">
        <v>44</v>
      </c>
      <c r="F57" s="21" t="n">
        <v>76.5</v>
      </c>
      <c r="G57" s="19" t="n">
        <v>44</v>
      </c>
      <c r="H57" s="19" t="n">
        <v>52</v>
      </c>
      <c r="I57" s="21" t="n">
        <v>23.93</v>
      </c>
      <c r="J57" s="21">
        <f>ROUND(F57*0.3+I57*0.7, 2)</f>
        <v/>
      </c>
      <c r="K57" s="19" t="inlineStr">
        <is>
          <t>综合第54名</t>
        </is>
      </c>
    </row>
    <row r="58" ht="20" customHeight="1">
      <c r="A58" s="26" t="n">
        <v>55</v>
      </c>
      <c r="B58" s="26" t="inlineStr">
        <is>
          <t>262100007007</t>
        </is>
      </c>
      <c r="C58" s="26" t="inlineStr">
        <is>
          <t>男</t>
        </is>
      </c>
      <c r="D58" s="26" t="inlineStr">
        <is>
          <t>是</t>
        </is>
      </c>
      <c r="E58" s="26" t="n">
        <v>45</v>
      </c>
      <c r="F58" s="28" t="n">
        <v>76</v>
      </c>
      <c r="G58" s="26" t="n">
        <v>45</v>
      </c>
      <c r="H58" s="26" t="n">
        <v>4</v>
      </c>
      <c r="I58" s="28" t="n">
        <v>21.5</v>
      </c>
      <c r="J58" s="28">
        <f>ROUND(F58*0.3+I58*0.7, 2)</f>
        <v/>
      </c>
      <c r="K58" s="26" t="inlineStr">
        <is>
          <t>综合第55名</t>
        </is>
      </c>
    </row>
    <row r="59" ht="20" customHeight="1">
      <c r="A59" s="19" t="n">
        <v>56</v>
      </c>
      <c r="B59" s="19" t="inlineStr">
        <is>
          <t>262100007116</t>
        </is>
      </c>
      <c r="C59" s="19" t="inlineStr">
        <is>
          <t>男</t>
        </is>
      </c>
      <c r="D59" s="19" t="inlineStr">
        <is>
          <t>是</t>
        </is>
      </c>
      <c r="E59" s="19" t="n">
        <v>27</v>
      </c>
      <c r="F59" s="21" t="n">
        <v>80.5</v>
      </c>
      <c r="G59" s="19" t="n">
        <v>27</v>
      </c>
      <c r="H59" s="19" t="n">
        <v>47</v>
      </c>
      <c r="I59" s="21" t="n">
        <v>14</v>
      </c>
      <c r="J59" s="21">
        <f>ROUND(F59*0.3+I59*0.7, 2)</f>
        <v/>
      </c>
      <c r="K59" s="19" t="inlineStr">
        <is>
          <t>综合第56名</t>
        </is>
      </c>
    </row>
    <row r="60" ht="20" customHeight="1">
      <c r="A60" s="26" t="n">
        <v>57</v>
      </c>
      <c r="B60" s="26" t="inlineStr">
        <is>
          <t>262100007074</t>
        </is>
      </c>
      <c r="C60" s="26" t="inlineStr">
        <is>
          <t>男</t>
        </is>
      </c>
      <c r="D60" s="26" t="inlineStr">
        <is>
          <t>是</t>
        </is>
      </c>
      <c r="E60" s="26" t="n">
        <v>54</v>
      </c>
      <c r="F60" s="28" t="n">
        <v>73</v>
      </c>
      <c r="G60" s="26" t="n">
        <v>54</v>
      </c>
      <c r="H60" s="26" t="n">
        <v>27</v>
      </c>
      <c r="I60" s="28" t="n">
        <v>12.2</v>
      </c>
      <c r="J60" s="28">
        <f>ROUND(F60*0.3+I60*0.7, 2)</f>
        <v/>
      </c>
      <c r="K60" s="26" t="inlineStr">
        <is>
          <t>综合第57名</t>
        </is>
      </c>
    </row>
    <row r="61" ht="20" customHeight="1">
      <c r="A61" s="43" t="n">
        <v>58</v>
      </c>
      <c r="B61" s="43" t="inlineStr">
        <is>
          <t>262100007159</t>
        </is>
      </c>
      <c r="C61" s="43" t="inlineStr">
        <is>
          <t>男</t>
        </is>
      </c>
      <c r="D61" s="43" t="inlineStr">
        <is>
          <t>是</t>
        </is>
      </c>
      <c r="E61" s="43" t="n">
        <v>20</v>
      </c>
      <c r="F61" s="44" t="n">
        <v>83</v>
      </c>
      <c r="G61" s="43" t="n">
        <v>20</v>
      </c>
      <c r="H61" s="43" t="n">
        <v>64</v>
      </c>
      <c r="I61" s="44" t="n">
        <v>0</v>
      </c>
      <c r="J61" s="44">
        <f>ROUND(F61*0.3+I61*0.7, 2)</f>
        <v/>
      </c>
      <c r="K61" s="43" t="inlineStr">
        <is>
          <t>综合第58名（决赛缺赛）</t>
        </is>
      </c>
    </row>
    <row r="62" ht="20" customHeight="1">
      <c r="A62" s="45" t="n">
        <v>59</v>
      </c>
      <c r="B62" s="45" t="inlineStr">
        <is>
          <t>262100007014</t>
        </is>
      </c>
      <c r="C62" s="45" t="inlineStr">
        <is>
          <t>男</t>
        </is>
      </c>
      <c r="D62" s="45" t="inlineStr">
        <is>
          <t>是</t>
        </is>
      </c>
      <c r="E62" s="45" t="n">
        <v>24</v>
      </c>
      <c r="F62" s="46" t="n">
        <v>81.5</v>
      </c>
      <c r="G62" s="45" t="n">
        <v>24</v>
      </c>
      <c r="H62" s="45" t="n">
        <v>7</v>
      </c>
      <c r="I62" s="46" t="n">
        <v>0</v>
      </c>
      <c r="J62" s="46">
        <f>ROUND(F62*0.3+I62*0.7, 2)</f>
        <v/>
      </c>
      <c r="K62" s="45" t="inlineStr">
        <is>
          <t>综合第59名（决赛缺赛）</t>
        </is>
      </c>
    </row>
    <row r="63" ht="20" customHeight="1">
      <c r="A63" s="43" t="n">
        <v>60</v>
      </c>
      <c r="B63" s="43" t="inlineStr">
        <is>
          <t>262100007090</t>
        </is>
      </c>
      <c r="C63" s="43" t="inlineStr">
        <is>
          <t>男</t>
        </is>
      </c>
      <c r="D63" s="43" t="inlineStr">
        <is>
          <t>是</t>
        </is>
      </c>
      <c r="E63" s="43" t="n">
        <v>28</v>
      </c>
      <c r="F63" s="44" t="n">
        <v>80.5</v>
      </c>
      <c r="G63" s="43" t="n">
        <v>27</v>
      </c>
      <c r="H63" s="43" t="n">
        <v>36</v>
      </c>
      <c r="I63" s="44" t="n">
        <v>0</v>
      </c>
      <c r="J63" s="44">
        <f>ROUND(F63*0.3+I63*0.7, 2)</f>
        <v/>
      </c>
      <c r="K63" s="43" t="inlineStr">
        <is>
          <t>综合第60名（决赛缺赛）</t>
        </is>
      </c>
    </row>
    <row r="64" ht="20" customHeight="1">
      <c r="A64" s="45" t="n">
        <v>61</v>
      </c>
      <c r="B64" s="45" t="inlineStr">
        <is>
          <t>262100007065</t>
        </is>
      </c>
      <c r="C64" s="45" t="inlineStr">
        <is>
          <t>男</t>
        </is>
      </c>
      <c r="D64" s="45" t="inlineStr">
        <is>
          <t>是</t>
        </is>
      </c>
      <c r="E64" s="45" t="n">
        <v>29</v>
      </c>
      <c r="F64" s="46" t="n">
        <v>80</v>
      </c>
      <c r="G64" s="45" t="n">
        <v>29</v>
      </c>
      <c r="H64" s="45" t="n">
        <v>23</v>
      </c>
      <c r="I64" s="46" t="n">
        <v>0</v>
      </c>
      <c r="J64" s="46">
        <f>ROUND(F64*0.3+I64*0.7, 2)</f>
        <v/>
      </c>
      <c r="K64" s="45" t="inlineStr">
        <is>
          <t>综合第61名（决赛缺赛）</t>
        </is>
      </c>
    </row>
    <row r="65" ht="20" customHeight="1">
      <c r="A65" s="43" t="n">
        <v>62</v>
      </c>
      <c r="B65" s="43" t="inlineStr">
        <is>
          <t>262100007040</t>
        </is>
      </c>
      <c r="C65" s="43" t="inlineStr">
        <is>
          <t>女</t>
        </is>
      </c>
      <c r="D65" s="43" t="inlineStr">
        <is>
          <t>是</t>
        </is>
      </c>
      <c r="E65" s="43" t="n">
        <v>48</v>
      </c>
      <c r="F65" s="44" t="n">
        <v>75.5</v>
      </c>
      <c r="G65" s="43" t="n">
        <v>48</v>
      </c>
      <c r="H65" s="43" t="n">
        <v>16</v>
      </c>
      <c r="I65" s="44" t="n">
        <v>0</v>
      </c>
      <c r="J65" s="44">
        <f>ROUND(F65*0.3+I65*0.7, 2)</f>
        <v/>
      </c>
      <c r="K65" s="43" t="inlineStr">
        <is>
          <t>综合第62名（决赛缺赛）</t>
        </is>
      </c>
    </row>
    <row r="66" ht="20" customHeight="1">
      <c r="A66" s="45" t="n">
        <v>63</v>
      </c>
      <c r="B66" s="45" t="inlineStr">
        <is>
          <t>262100007182</t>
        </is>
      </c>
      <c r="C66" s="45" t="inlineStr">
        <is>
          <t>男</t>
        </is>
      </c>
      <c r="D66" s="45" t="inlineStr">
        <is>
          <t>是</t>
        </is>
      </c>
      <c r="E66" s="45" t="n">
        <v>55</v>
      </c>
      <c r="F66" s="46" t="n">
        <v>72.5</v>
      </c>
      <c r="G66" s="45" t="n">
        <v>55</v>
      </c>
      <c r="H66" s="45" t="n">
        <v>68</v>
      </c>
      <c r="I66" s="46" t="n">
        <v>0</v>
      </c>
      <c r="J66" s="46">
        <f>ROUND(F66*0.3+I66*0.7, 2)</f>
        <v/>
      </c>
      <c r="K66" s="45" t="inlineStr">
        <is>
          <t>综合第63名（决赛缺赛）</t>
        </is>
      </c>
    </row>
    <row r="67" ht="20" customHeight="1">
      <c r="A67" s="43" t="n">
        <v>64</v>
      </c>
      <c r="B67" s="43" t="inlineStr">
        <is>
          <t>262100007097</t>
        </is>
      </c>
      <c r="C67" s="43" t="inlineStr">
        <is>
          <t>男</t>
        </is>
      </c>
      <c r="D67" s="43" t="inlineStr">
        <is>
          <t>是</t>
        </is>
      </c>
      <c r="E67" s="43" t="n">
        <v>56</v>
      </c>
      <c r="F67" s="44" t="n">
        <v>72</v>
      </c>
      <c r="G67" s="43" t="n">
        <v>56</v>
      </c>
      <c r="H67" s="43" t="n">
        <v>40</v>
      </c>
      <c r="I67" s="44" t="n">
        <v>0</v>
      </c>
      <c r="J67" s="44">
        <f>ROUND(F67*0.3+I67*0.7, 2)</f>
        <v/>
      </c>
      <c r="K67" s="43" t="inlineStr">
        <is>
          <t>综合第64名（决赛缺赛）</t>
        </is>
      </c>
    </row>
    <row r="68" ht="20" customHeight="1">
      <c r="A68" s="45" t="n">
        <v>65</v>
      </c>
      <c r="B68" s="45" t="inlineStr">
        <is>
          <t>262100007049</t>
        </is>
      </c>
      <c r="C68" s="45" t="inlineStr">
        <is>
          <t>女</t>
        </is>
      </c>
      <c r="D68" s="45" t="inlineStr">
        <is>
          <t>是</t>
        </is>
      </c>
      <c r="E68" s="45" t="n">
        <v>57</v>
      </c>
      <c r="F68" s="46" t="n">
        <v>71.5</v>
      </c>
      <c r="G68" s="45" t="n">
        <v>57</v>
      </c>
      <c r="H68" s="45" t="n">
        <v>18</v>
      </c>
      <c r="I68" s="46" t="n">
        <v>0</v>
      </c>
      <c r="J68" s="46">
        <f>ROUND(F68*0.3+I68*0.7, 2)</f>
        <v/>
      </c>
      <c r="K68" s="45" t="inlineStr">
        <is>
          <t>综合第65名（决赛缺赛）</t>
        </is>
      </c>
    </row>
    <row r="69" ht="20" customHeight="1">
      <c r="A69" s="43" t="n">
        <v>66</v>
      </c>
      <c r="B69" s="43" t="inlineStr">
        <is>
          <t>262100007111</t>
        </is>
      </c>
      <c r="C69" s="43" t="inlineStr">
        <is>
          <t>女</t>
        </is>
      </c>
      <c r="D69" s="43" t="inlineStr">
        <is>
          <t>是</t>
        </is>
      </c>
      <c r="E69" s="43" t="n">
        <v>60</v>
      </c>
      <c r="F69" s="44" t="n">
        <v>68</v>
      </c>
      <c r="G69" s="43" t="n">
        <v>60</v>
      </c>
      <c r="H69" s="43" t="n">
        <v>45</v>
      </c>
      <c r="I69" s="44" t="n">
        <v>0</v>
      </c>
      <c r="J69" s="44">
        <f>ROUND(F69*0.3+I69*0.7, 2)</f>
        <v/>
      </c>
      <c r="K69" s="43" t="inlineStr">
        <is>
          <t>综合第66名（决赛缺赛）</t>
        </is>
      </c>
    </row>
    <row r="70" ht="20" customHeight="1">
      <c r="A70" s="45" t="n">
        <v>67</v>
      </c>
      <c r="B70" s="45" t="inlineStr">
        <is>
          <t>262100007166</t>
        </is>
      </c>
      <c r="C70" s="45" t="inlineStr">
        <is>
          <t>男</t>
        </is>
      </c>
      <c r="D70" s="45" t="inlineStr">
        <is>
          <t>是</t>
        </is>
      </c>
      <c r="E70" s="45" t="n">
        <v>62</v>
      </c>
      <c r="F70" s="46" t="n">
        <v>67.5</v>
      </c>
      <c r="G70" s="45" t="n">
        <v>61</v>
      </c>
      <c r="H70" s="45" t="n">
        <v>66</v>
      </c>
      <c r="I70" s="46" t="n">
        <v>0</v>
      </c>
      <c r="J70" s="46">
        <f>ROUND(F70*0.3+I70*0.7, 2)</f>
        <v/>
      </c>
      <c r="K70" s="45" t="inlineStr">
        <is>
          <t>综合第67名（决赛缺赛）</t>
        </is>
      </c>
    </row>
    <row r="71" ht="20" customHeight="1">
      <c r="A71" s="43" t="n">
        <v>68</v>
      </c>
      <c r="B71" s="43" t="inlineStr">
        <is>
          <t>262100007184</t>
        </is>
      </c>
      <c r="C71" s="43" t="inlineStr">
        <is>
          <t>女</t>
        </is>
      </c>
      <c r="D71" s="43" t="inlineStr">
        <is>
          <t>是</t>
        </is>
      </c>
      <c r="E71" s="43" t="n">
        <v>61</v>
      </c>
      <c r="F71" s="44" t="n">
        <v>67.5</v>
      </c>
      <c r="G71" s="43" t="n">
        <v>61</v>
      </c>
      <c r="H71" s="43" t="n">
        <v>69</v>
      </c>
      <c r="I71" s="44" t="n">
        <v>0</v>
      </c>
      <c r="J71" s="44">
        <f>ROUND(F71*0.3+I71*0.7, 2)</f>
        <v/>
      </c>
      <c r="K71" s="43" t="inlineStr">
        <is>
          <t>综合第67名（决赛缺赛）</t>
        </is>
      </c>
    </row>
    <row r="72" ht="20" customHeight="1">
      <c r="A72" s="45" t="n">
        <v>69</v>
      </c>
      <c r="B72" s="45" t="inlineStr">
        <is>
          <t>262100007127</t>
        </is>
      </c>
      <c r="C72" s="45" t="inlineStr">
        <is>
          <t>男</t>
        </is>
      </c>
      <c r="D72" s="45" t="inlineStr">
        <is>
          <t>是</t>
        </is>
      </c>
      <c r="E72" s="45" t="n">
        <v>66</v>
      </c>
      <c r="F72" s="46" t="n">
        <v>65.5</v>
      </c>
      <c r="G72" s="45" t="n">
        <v>66</v>
      </c>
      <c r="H72" s="45" t="n">
        <v>51</v>
      </c>
      <c r="I72" s="46" t="n">
        <v>0</v>
      </c>
      <c r="J72" s="46">
        <f>ROUND(F72*0.3+I72*0.7, 2)</f>
        <v/>
      </c>
      <c r="K72" s="45" t="inlineStr">
        <is>
          <t>综合第69名（决赛缺赛）</t>
        </is>
      </c>
    </row>
    <row r="73" ht="20" customHeight="1">
      <c r="A73" s="43" t="n">
        <v>70</v>
      </c>
      <c r="B73" s="43" t="inlineStr">
        <is>
          <t>262100007082</t>
        </is>
      </c>
      <c r="C73" s="43" t="inlineStr">
        <is>
          <t>男</t>
        </is>
      </c>
      <c r="D73" s="43" t="inlineStr">
        <is>
          <t>是</t>
        </is>
      </c>
      <c r="E73" s="43" t="n">
        <v>68</v>
      </c>
      <c r="F73" s="44" t="n">
        <v>65</v>
      </c>
      <c r="G73" s="43" t="n">
        <v>67</v>
      </c>
      <c r="H73" s="43" t="n">
        <v>31</v>
      </c>
      <c r="I73" s="44" t="n">
        <v>0</v>
      </c>
      <c r="J73" s="44">
        <f>ROUND(F73*0.3+I73*0.7, 2)</f>
        <v/>
      </c>
      <c r="K73" s="43" t="inlineStr">
        <is>
          <t>综合第70名（决赛缺赛）</t>
        </is>
      </c>
    </row>
    <row r="74" ht="20" customHeight="1">
      <c r="A74" s="45" t="n">
        <v>71</v>
      </c>
      <c r="B74" s="45" t="inlineStr">
        <is>
          <t>262100007133</t>
        </is>
      </c>
      <c r="C74" s="45" t="inlineStr">
        <is>
          <t>男</t>
        </is>
      </c>
      <c r="D74" s="45" t="inlineStr">
        <is>
          <t>否</t>
        </is>
      </c>
      <c r="E74" s="45" t="n">
        <v>71</v>
      </c>
      <c r="F74" s="46" t="n">
        <v>63</v>
      </c>
      <c r="G74" s="45" t="n">
        <v>71</v>
      </c>
      <c r="H74" s="45" t="inlineStr">
        <is>
          <t>/</t>
        </is>
      </c>
      <c r="I74" s="45" t="inlineStr">
        <is>
          <t>/</t>
        </is>
      </c>
      <c r="J74" s="45" t="inlineStr">
        <is>
          <t>/</t>
        </is>
      </c>
      <c r="K74" s="45" t="inlineStr">
        <is>
          <t>未入围决赛</t>
        </is>
      </c>
    </row>
    <row r="75" ht="20" customHeight="1">
      <c r="A75" s="43" t="n">
        <v>72</v>
      </c>
      <c r="B75" s="43" t="inlineStr">
        <is>
          <t>262100007104</t>
        </is>
      </c>
      <c r="C75" s="43" t="inlineStr">
        <is>
          <t>男</t>
        </is>
      </c>
      <c r="D75" s="43" t="inlineStr">
        <is>
          <t>否</t>
        </is>
      </c>
      <c r="E75" s="43" t="n">
        <v>72</v>
      </c>
      <c r="F75" s="44" t="n">
        <v>63</v>
      </c>
      <c r="G75" s="43" t="n">
        <v>71</v>
      </c>
      <c r="H75" s="43" t="inlineStr">
        <is>
          <t>/</t>
        </is>
      </c>
      <c r="I75" s="43" t="inlineStr">
        <is>
          <t>/</t>
        </is>
      </c>
      <c r="J75" s="43" t="inlineStr">
        <is>
          <t>/</t>
        </is>
      </c>
      <c r="K75" s="43" t="inlineStr">
        <is>
          <t>未入围决赛</t>
        </is>
      </c>
    </row>
    <row r="76" ht="20" customHeight="1">
      <c r="A76" s="45" t="n">
        <v>73</v>
      </c>
      <c r="B76" s="45" t="inlineStr">
        <is>
          <t>262100007183</t>
        </is>
      </c>
      <c r="C76" s="45" t="inlineStr">
        <is>
          <t>女</t>
        </is>
      </c>
      <c r="D76" s="45" t="inlineStr">
        <is>
          <t>否</t>
        </is>
      </c>
      <c r="E76" s="45" t="n">
        <v>73</v>
      </c>
      <c r="F76" s="46" t="n">
        <v>62.5</v>
      </c>
      <c r="G76" s="45" t="n">
        <v>73</v>
      </c>
      <c r="H76" s="45" t="inlineStr">
        <is>
          <t>/</t>
        </is>
      </c>
      <c r="I76" s="45" t="inlineStr">
        <is>
          <t>/</t>
        </is>
      </c>
      <c r="J76" s="45" t="inlineStr">
        <is>
          <t>/</t>
        </is>
      </c>
      <c r="K76" s="45" t="inlineStr">
        <is>
          <t>未入围决赛</t>
        </is>
      </c>
    </row>
    <row r="77" ht="20" customHeight="1">
      <c r="A77" s="43" t="n">
        <v>74</v>
      </c>
      <c r="B77" s="43" t="inlineStr">
        <is>
          <t>262100007072</t>
        </is>
      </c>
      <c r="C77" s="43" t="inlineStr">
        <is>
          <t>女</t>
        </is>
      </c>
      <c r="D77" s="43" t="inlineStr">
        <is>
          <t>否</t>
        </is>
      </c>
      <c r="E77" s="43" t="n">
        <v>74</v>
      </c>
      <c r="F77" s="44" t="n">
        <v>61</v>
      </c>
      <c r="G77" s="43" t="n">
        <v>74</v>
      </c>
      <c r="H77" s="43" t="inlineStr">
        <is>
          <t>/</t>
        </is>
      </c>
      <c r="I77" s="43" t="inlineStr">
        <is>
          <t>/</t>
        </is>
      </c>
      <c r="J77" s="43" t="inlineStr">
        <is>
          <t>/</t>
        </is>
      </c>
      <c r="K77" s="43" t="inlineStr">
        <is>
          <t>未入围决赛</t>
        </is>
      </c>
    </row>
    <row r="78" ht="20" customHeight="1">
      <c r="A78" s="45" t="n">
        <v>75</v>
      </c>
      <c r="B78" s="45" t="inlineStr">
        <is>
          <t>262100007136</t>
        </is>
      </c>
      <c r="C78" s="45" t="inlineStr">
        <is>
          <t>男</t>
        </is>
      </c>
      <c r="D78" s="45" t="inlineStr">
        <is>
          <t>否</t>
        </is>
      </c>
      <c r="E78" s="45" t="n">
        <v>75</v>
      </c>
      <c r="F78" s="46" t="n">
        <v>59.5</v>
      </c>
      <c r="G78" s="45" t="n">
        <v>75</v>
      </c>
      <c r="H78" s="45" t="inlineStr">
        <is>
          <t>/</t>
        </is>
      </c>
      <c r="I78" s="45" t="inlineStr">
        <is>
          <t>/</t>
        </is>
      </c>
      <c r="J78" s="45" t="inlineStr">
        <is>
          <t>/</t>
        </is>
      </c>
      <c r="K78" s="45" t="inlineStr">
        <is>
          <t>未入围决赛</t>
        </is>
      </c>
    </row>
    <row r="79" ht="20" customHeight="1">
      <c r="A79" s="43" t="n">
        <v>76</v>
      </c>
      <c r="B79" s="43" t="inlineStr">
        <is>
          <t>262100007180</t>
        </is>
      </c>
      <c r="C79" s="43" t="inlineStr">
        <is>
          <t>男</t>
        </is>
      </c>
      <c r="D79" s="43" t="inlineStr">
        <is>
          <t>否</t>
        </is>
      </c>
      <c r="E79" s="43" t="n">
        <v>76</v>
      </c>
      <c r="F79" s="44" t="n">
        <v>59</v>
      </c>
      <c r="G79" s="43" t="n">
        <v>76</v>
      </c>
      <c r="H79" s="43" t="inlineStr">
        <is>
          <t>/</t>
        </is>
      </c>
      <c r="I79" s="43" t="inlineStr">
        <is>
          <t>/</t>
        </is>
      </c>
      <c r="J79" s="43" t="inlineStr">
        <is>
          <t>/</t>
        </is>
      </c>
      <c r="K79" s="43" t="inlineStr">
        <is>
          <t>未入围决赛</t>
        </is>
      </c>
    </row>
    <row r="80" ht="20" customHeight="1">
      <c r="A80" s="45" t="n">
        <v>77</v>
      </c>
      <c r="B80" s="45" t="inlineStr">
        <is>
          <t>262100007135</t>
        </is>
      </c>
      <c r="C80" s="45" t="inlineStr">
        <is>
          <t>女</t>
        </is>
      </c>
      <c r="D80" s="45" t="inlineStr">
        <is>
          <t>否</t>
        </is>
      </c>
      <c r="E80" s="45" t="n">
        <v>77</v>
      </c>
      <c r="F80" s="46" t="n">
        <v>59</v>
      </c>
      <c r="G80" s="45" t="n">
        <v>76</v>
      </c>
      <c r="H80" s="45" t="inlineStr">
        <is>
          <t>/</t>
        </is>
      </c>
      <c r="I80" s="45" t="inlineStr">
        <is>
          <t>/</t>
        </is>
      </c>
      <c r="J80" s="45" t="inlineStr">
        <is>
          <t>/</t>
        </is>
      </c>
      <c r="K80" s="45" t="inlineStr">
        <is>
          <t>未入围决赛</t>
        </is>
      </c>
    </row>
    <row r="81" ht="20" customHeight="1">
      <c r="A81" s="43" t="n">
        <v>78</v>
      </c>
      <c r="B81" s="43" t="inlineStr">
        <is>
          <t>262100007150</t>
        </is>
      </c>
      <c r="C81" s="43" t="inlineStr">
        <is>
          <t>男</t>
        </is>
      </c>
      <c r="D81" s="43" t="inlineStr">
        <is>
          <t>否</t>
        </is>
      </c>
      <c r="E81" s="43" t="n">
        <v>78</v>
      </c>
      <c r="F81" s="44" t="n">
        <v>59</v>
      </c>
      <c r="G81" s="43" t="n">
        <v>76</v>
      </c>
      <c r="H81" s="43" t="inlineStr">
        <is>
          <t>/</t>
        </is>
      </c>
      <c r="I81" s="43" t="inlineStr">
        <is>
          <t>/</t>
        </is>
      </c>
      <c r="J81" s="43" t="inlineStr">
        <is>
          <t>/</t>
        </is>
      </c>
      <c r="K81" s="43" t="inlineStr">
        <is>
          <t>未入围决赛</t>
        </is>
      </c>
    </row>
    <row r="82" ht="20" customHeight="1">
      <c r="A82" s="45" t="n">
        <v>79</v>
      </c>
      <c r="B82" s="45" t="inlineStr">
        <is>
          <t>262100007086</t>
        </is>
      </c>
      <c r="C82" s="45" t="inlineStr">
        <is>
          <t>男</t>
        </is>
      </c>
      <c r="D82" s="45" t="inlineStr">
        <is>
          <t>否</t>
        </is>
      </c>
      <c r="E82" s="45" t="n">
        <v>79</v>
      </c>
      <c r="F82" s="46" t="n">
        <v>59</v>
      </c>
      <c r="G82" s="45" t="n">
        <v>76</v>
      </c>
      <c r="H82" s="45" t="inlineStr">
        <is>
          <t>/</t>
        </is>
      </c>
      <c r="I82" s="45" t="inlineStr">
        <is>
          <t>/</t>
        </is>
      </c>
      <c r="J82" s="45" t="inlineStr">
        <is>
          <t>/</t>
        </is>
      </c>
      <c r="K82" s="45" t="inlineStr">
        <is>
          <t>未入围决赛</t>
        </is>
      </c>
    </row>
    <row r="83" ht="20" customHeight="1">
      <c r="A83" s="43" t="n">
        <v>80</v>
      </c>
      <c r="B83" s="43" t="inlineStr">
        <is>
          <t>262100007167</t>
        </is>
      </c>
      <c r="C83" s="43" t="inlineStr">
        <is>
          <t>男</t>
        </is>
      </c>
      <c r="D83" s="43" t="inlineStr">
        <is>
          <t>否</t>
        </is>
      </c>
      <c r="E83" s="43" t="n">
        <v>80</v>
      </c>
      <c r="F83" s="44" t="n">
        <v>58.5</v>
      </c>
      <c r="G83" s="43" t="n">
        <v>80</v>
      </c>
      <c r="H83" s="43" t="inlineStr">
        <is>
          <t>/</t>
        </is>
      </c>
      <c r="I83" s="43" t="inlineStr">
        <is>
          <t>/</t>
        </is>
      </c>
      <c r="J83" s="43" t="inlineStr">
        <is>
          <t>/</t>
        </is>
      </c>
      <c r="K83" s="43" t="inlineStr">
        <is>
          <t>未入围决赛</t>
        </is>
      </c>
    </row>
    <row r="84" ht="20" customHeight="1">
      <c r="A84" s="45" t="n">
        <v>81</v>
      </c>
      <c r="B84" s="45" t="inlineStr">
        <is>
          <t>262100007089</t>
        </is>
      </c>
      <c r="C84" s="45" t="inlineStr">
        <is>
          <t>男</t>
        </is>
      </c>
      <c r="D84" s="45" t="inlineStr">
        <is>
          <t>否</t>
        </is>
      </c>
      <c r="E84" s="45" t="n">
        <v>81</v>
      </c>
      <c r="F84" s="46" t="n">
        <v>58</v>
      </c>
      <c r="G84" s="45" t="n">
        <v>81</v>
      </c>
      <c r="H84" s="45" t="inlineStr">
        <is>
          <t>/</t>
        </is>
      </c>
      <c r="I84" s="45" t="inlineStr">
        <is>
          <t>/</t>
        </is>
      </c>
      <c r="J84" s="45" t="inlineStr">
        <is>
          <t>/</t>
        </is>
      </c>
      <c r="K84" s="45" t="inlineStr">
        <is>
          <t>未入围决赛</t>
        </is>
      </c>
    </row>
    <row r="85" ht="20" customHeight="1">
      <c r="A85" s="43" t="n">
        <v>82</v>
      </c>
      <c r="B85" s="43" t="inlineStr">
        <is>
          <t>262100007131</t>
        </is>
      </c>
      <c r="C85" s="43" t="inlineStr">
        <is>
          <t>男</t>
        </is>
      </c>
      <c r="D85" s="43" t="inlineStr">
        <is>
          <t>否</t>
        </is>
      </c>
      <c r="E85" s="43" t="n">
        <v>82</v>
      </c>
      <c r="F85" s="44" t="n">
        <v>58</v>
      </c>
      <c r="G85" s="43" t="n">
        <v>81</v>
      </c>
      <c r="H85" s="43" t="inlineStr">
        <is>
          <t>/</t>
        </is>
      </c>
      <c r="I85" s="43" t="inlineStr">
        <is>
          <t>/</t>
        </is>
      </c>
      <c r="J85" s="43" t="inlineStr">
        <is>
          <t>/</t>
        </is>
      </c>
      <c r="K85" s="43" t="inlineStr">
        <is>
          <t>未入围决赛</t>
        </is>
      </c>
    </row>
    <row r="86" ht="20" customHeight="1">
      <c r="A86" s="45" t="n">
        <v>83</v>
      </c>
      <c r="B86" s="45" t="inlineStr">
        <is>
          <t>262100007081</t>
        </is>
      </c>
      <c r="C86" s="45" t="inlineStr">
        <is>
          <t>男</t>
        </is>
      </c>
      <c r="D86" s="45" t="inlineStr">
        <is>
          <t>否</t>
        </is>
      </c>
      <c r="E86" s="45" t="n">
        <v>83</v>
      </c>
      <c r="F86" s="46" t="n">
        <v>58</v>
      </c>
      <c r="G86" s="45" t="n">
        <v>81</v>
      </c>
      <c r="H86" s="45" t="inlineStr">
        <is>
          <t>/</t>
        </is>
      </c>
      <c r="I86" s="45" t="inlineStr">
        <is>
          <t>/</t>
        </is>
      </c>
      <c r="J86" s="45" t="inlineStr">
        <is>
          <t>/</t>
        </is>
      </c>
      <c r="K86" s="45" t="inlineStr">
        <is>
          <t>未入围决赛</t>
        </is>
      </c>
    </row>
    <row r="87" ht="20" customHeight="1">
      <c r="A87" s="43" t="n">
        <v>84</v>
      </c>
      <c r="B87" s="43" t="inlineStr">
        <is>
          <t>262100007175</t>
        </is>
      </c>
      <c r="C87" s="43" t="inlineStr">
        <is>
          <t>男</t>
        </is>
      </c>
      <c r="D87" s="43" t="inlineStr">
        <is>
          <t>否</t>
        </is>
      </c>
      <c r="E87" s="43" t="n">
        <v>84</v>
      </c>
      <c r="F87" s="44" t="n">
        <v>56</v>
      </c>
      <c r="G87" s="43" t="n">
        <v>84</v>
      </c>
      <c r="H87" s="43" t="inlineStr">
        <is>
          <t>/</t>
        </is>
      </c>
      <c r="I87" s="43" t="inlineStr">
        <is>
          <t>/</t>
        </is>
      </c>
      <c r="J87" s="43" t="inlineStr">
        <is>
          <t>/</t>
        </is>
      </c>
      <c r="K87" s="43" t="inlineStr">
        <is>
          <t>未入围决赛</t>
        </is>
      </c>
    </row>
    <row r="88" ht="20" customHeight="1">
      <c r="A88" s="45" t="n">
        <v>85</v>
      </c>
      <c r="B88" s="45" t="inlineStr">
        <is>
          <t>262100007123</t>
        </is>
      </c>
      <c r="C88" s="45" t="inlineStr">
        <is>
          <t>男</t>
        </is>
      </c>
      <c r="D88" s="45" t="inlineStr">
        <is>
          <t>否</t>
        </is>
      </c>
      <c r="E88" s="45" t="n">
        <v>85</v>
      </c>
      <c r="F88" s="46" t="n">
        <v>56</v>
      </c>
      <c r="G88" s="45" t="n">
        <v>84</v>
      </c>
      <c r="H88" s="45" t="inlineStr">
        <is>
          <t>/</t>
        </is>
      </c>
      <c r="I88" s="45" t="inlineStr">
        <is>
          <t>/</t>
        </is>
      </c>
      <c r="J88" s="45" t="inlineStr">
        <is>
          <t>/</t>
        </is>
      </c>
      <c r="K88" s="45" t="inlineStr">
        <is>
          <t>未入围决赛</t>
        </is>
      </c>
    </row>
    <row r="89" ht="20" customHeight="1">
      <c r="A89" s="43" t="n">
        <v>86</v>
      </c>
      <c r="B89" s="43" t="inlineStr">
        <is>
          <t>262100007140</t>
        </is>
      </c>
      <c r="C89" s="43" t="inlineStr">
        <is>
          <t>男</t>
        </is>
      </c>
      <c r="D89" s="43" t="inlineStr">
        <is>
          <t>否</t>
        </is>
      </c>
      <c r="E89" s="43" t="n">
        <v>86</v>
      </c>
      <c r="F89" s="44" t="n">
        <v>55</v>
      </c>
      <c r="G89" s="43" t="n">
        <v>86</v>
      </c>
      <c r="H89" s="43" t="inlineStr">
        <is>
          <t>/</t>
        </is>
      </c>
      <c r="I89" s="43" t="inlineStr">
        <is>
          <t>/</t>
        </is>
      </c>
      <c r="J89" s="43" t="inlineStr">
        <is>
          <t>/</t>
        </is>
      </c>
      <c r="K89" s="43" t="inlineStr">
        <is>
          <t>未入围决赛</t>
        </is>
      </c>
    </row>
    <row r="90" ht="20" customHeight="1">
      <c r="A90" s="45" t="n">
        <v>87</v>
      </c>
      <c r="B90" s="45" t="inlineStr">
        <is>
          <t>262100007059</t>
        </is>
      </c>
      <c r="C90" s="45" t="inlineStr">
        <is>
          <t>男</t>
        </is>
      </c>
      <c r="D90" s="45" t="inlineStr">
        <is>
          <t>否</t>
        </is>
      </c>
      <c r="E90" s="45" t="n">
        <v>87</v>
      </c>
      <c r="F90" s="46" t="n">
        <v>52.5</v>
      </c>
      <c r="G90" s="45" t="n">
        <v>87</v>
      </c>
      <c r="H90" s="45" t="inlineStr">
        <is>
          <t>/</t>
        </is>
      </c>
      <c r="I90" s="45" t="inlineStr">
        <is>
          <t>/</t>
        </is>
      </c>
      <c r="J90" s="45" t="inlineStr">
        <is>
          <t>/</t>
        </is>
      </c>
      <c r="K90" s="45" t="inlineStr">
        <is>
          <t>未入围决赛</t>
        </is>
      </c>
    </row>
    <row r="91" ht="20" customHeight="1">
      <c r="A91" s="43" t="n">
        <v>88</v>
      </c>
      <c r="B91" s="43" t="inlineStr">
        <is>
          <t>262100007091</t>
        </is>
      </c>
      <c r="C91" s="43" t="inlineStr">
        <is>
          <t>男</t>
        </is>
      </c>
      <c r="D91" s="43" t="inlineStr">
        <is>
          <t>否</t>
        </is>
      </c>
      <c r="E91" s="43" t="n">
        <v>88</v>
      </c>
      <c r="F91" s="44" t="n">
        <v>51.5</v>
      </c>
      <c r="G91" s="43" t="n">
        <v>88</v>
      </c>
      <c r="H91" s="43" t="inlineStr">
        <is>
          <t>/</t>
        </is>
      </c>
      <c r="I91" s="43" t="inlineStr">
        <is>
          <t>/</t>
        </is>
      </c>
      <c r="J91" s="43" t="inlineStr">
        <is>
          <t>/</t>
        </is>
      </c>
      <c r="K91" s="43" t="inlineStr">
        <is>
          <t>未入围决赛</t>
        </is>
      </c>
    </row>
    <row r="92" ht="20" customHeight="1">
      <c r="A92" s="45" t="n">
        <v>89</v>
      </c>
      <c r="B92" s="45" t="inlineStr">
        <is>
          <t>262100007030</t>
        </is>
      </c>
      <c r="C92" s="45" t="inlineStr">
        <is>
          <t>男</t>
        </is>
      </c>
      <c r="D92" s="45" t="inlineStr">
        <is>
          <t>否</t>
        </is>
      </c>
      <c r="E92" s="45" t="n">
        <v>89</v>
      </c>
      <c r="F92" s="46" t="n">
        <v>51</v>
      </c>
      <c r="G92" s="45" t="n">
        <v>89</v>
      </c>
      <c r="H92" s="45" t="inlineStr">
        <is>
          <t>/</t>
        </is>
      </c>
      <c r="I92" s="45" t="inlineStr">
        <is>
          <t>/</t>
        </is>
      </c>
      <c r="J92" s="45" t="inlineStr">
        <is>
          <t>/</t>
        </is>
      </c>
      <c r="K92" s="45" t="inlineStr">
        <is>
          <t>未入围决赛</t>
        </is>
      </c>
    </row>
    <row r="93" ht="20" customHeight="1">
      <c r="A93" s="43" t="n">
        <v>90</v>
      </c>
      <c r="B93" s="43" t="inlineStr">
        <is>
          <t>262100007036</t>
        </is>
      </c>
      <c r="C93" s="43" t="inlineStr">
        <is>
          <t>女</t>
        </is>
      </c>
      <c r="D93" s="43" t="inlineStr">
        <is>
          <t>否</t>
        </is>
      </c>
      <c r="E93" s="43" t="n">
        <v>90</v>
      </c>
      <c r="F93" s="44" t="n">
        <v>51</v>
      </c>
      <c r="G93" s="43" t="n">
        <v>89</v>
      </c>
      <c r="H93" s="43" t="inlineStr">
        <is>
          <t>/</t>
        </is>
      </c>
      <c r="I93" s="43" t="inlineStr">
        <is>
          <t>/</t>
        </is>
      </c>
      <c r="J93" s="43" t="inlineStr">
        <is>
          <t>/</t>
        </is>
      </c>
      <c r="K93" s="43" t="inlineStr">
        <is>
          <t>未入围决赛</t>
        </is>
      </c>
    </row>
    <row r="94" ht="20" customHeight="1">
      <c r="A94" s="45" t="n">
        <v>91</v>
      </c>
      <c r="B94" s="45" t="inlineStr">
        <is>
          <t>262100007057</t>
        </is>
      </c>
      <c r="C94" s="45" t="inlineStr">
        <is>
          <t>男</t>
        </is>
      </c>
      <c r="D94" s="45" t="inlineStr">
        <is>
          <t>否</t>
        </is>
      </c>
      <c r="E94" s="45" t="n">
        <v>91</v>
      </c>
      <c r="F94" s="46" t="n">
        <v>49.5</v>
      </c>
      <c r="G94" s="45" t="n">
        <v>91</v>
      </c>
      <c r="H94" s="45" t="inlineStr">
        <is>
          <t>/</t>
        </is>
      </c>
      <c r="I94" s="45" t="inlineStr">
        <is>
          <t>/</t>
        </is>
      </c>
      <c r="J94" s="45" t="inlineStr">
        <is>
          <t>/</t>
        </is>
      </c>
      <c r="K94" s="45" t="inlineStr">
        <is>
          <t>未入围决赛</t>
        </is>
      </c>
    </row>
    <row r="95" ht="20" customHeight="1">
      <c r="A95" s="43" t="n">
        <v>92</v>
      </c>
      <c r="B95" s="43" t="inlineStr">
        <is>
          <t>262100007018</t>
        </is>
      </c>
      <c r="C95" s="43" t="inlineStr">
        <is>
          <t>女</t>
        </is>
      </c>
      <c r="D95" s="43" t="inlineStr">
        <is>
          <t>否</t>
        </is>
      </c>
      <c r="E95" s="43" t="n">
        <v>92</v>
      </c>
      <c r="F95" s="44" t="n">
        <v>39.5</v>
      </c>
      <c r="G95" s="43" t="n">
        <v>92</v>
      </c>
      <c r="H95" s="43" t="inlineStr">
        <is>
          <t>/</t>
        </is>
      </c>
      <c r="I95" s="43" t="inlineStr">
        <is>
          <t>/</t>
        </is>
      </c>
      <c r="J95" s="43" t="inlineStr">
        <is>
          <t>/</t>
        </is>
      </c>
      <c r="K95" s="43" t="inlineStr">
        <is>
          <t>未入围决赛</t>
        </is>
      </c>
    </row>
    <row r="96" ht="20" customHeight="1">
      <c r="A96" s="45" t="n">
        <v>93</v>
      </c>
      <c r="B96" s="45" t="inlineStr">
        <is>
          <t>262100007058</t>
        </is>
      </c>
      <c r="C96" s="45" t="inlineStr">
        <is>
          <t>男</t>
        </is>
      </c>
      <c r="D96" s="45" t="inlineStr">
        <is>
          <t>否</t>
        </is>
      </c>
      <c r="E96" s="45" t="n">
        <v>93</v>
      </c>
      <c r="F96" s="46" t="n">
        <v>38</v>
      </c>
      <c r="G96" s="45" t="n">
        <v>93</v>
      </c>
      <c r="H96" s="45" t="inlineStr">
        <is>
          <t>/</t>
        </is>
      </c>
      <c r="I96" s="45" t="inlineStr">
        <is>
          <t>/</t>
        </is>
      </c>
      <c r="J96" s="45" t="inlineStr">
        <is>
          <t>/</t>
        </is>
      </c>
      <c r="K96" s="45" t="inlineStr">
        <is>
          <t>未入围决赛</t>
        </is>
      </c>
    </row>
    <row r="97" ht="20" customHeight="1">
      <c r="A97" s="43" t="n">
        <v>94</v>
      </c>
      <c r="B97" s="43" t="inlineStr">
        <is>
          <t>262100007076</t>
        </is>
      </c>
      <c r="C97" s="43" t="inlineStr">
        <is>
          <t>女</t>
        </is>
      </c>
      <c r="D97" s="43" t="inlineStr">
        <is>
          <t>否</t>
        </is>
      </c>
      <c r="E97" s="43" t="n">
        <v>94</v>
      </c>
      <c r="F97" s="44" t="n">
        <v>34</v>
      </c>
      <c r="G97" s="43" t="n">
        <v>94</v>
      </c>
      <c r="H97" s="43" t="inlineStr">
        <is>
          <t>/</t>
        </is>
      </c>
      <c r="I97" s="43" t="inlineStr">
        <is>
          <t>/</t>
        </is>
      </c>
      <c r="J97" s="43" t="inlineStr">
        <is>
          <t>/</t>
        </is>
      </c>
      <c r="K97" s="43" t="inlineStr">
        <is>
          <t>未入围决赛</t>
        </is>
      </c>
    </row>
    <row r="98" ht="20" customHeight="1">
      <c r="A98" s="45" t="n">
        <v>95</v>
      </c>
      <c r="B98" s="45" t="inlineStr">
        <is>
          <t>262100007100</t>
        </is>
      </c>
      <c r="C98" s="45" t="inlineStr">
        <is>
          <t>男</t>
        </is>
      </c>
      <c r="D98" s="45" t="inlineStr">
        <is>
          <t>否</t>
        </is>
      </c>
      <c r="E98" s="45" t="n">
        <v>95</v>
      </c>
      <c r="F98" s="46" t="n">
        <v>0</v>
      </c>
      <c r="G98" s="45" t="inlineStr">
        <is>
          <t>/</t>
        </is>
      </c>
      <c r="H98" s="45" t="inlineStr">
        <is>
          <t>/</t>
        </is>
      </c>
      <c r="I98" s="45" t="inlineStr">
        <is>
          <t>/</t>
        </is>
      </c>
      <c r="J98" s="45" t="inlineStr">
        <is>
          <t>/</t>
        </is>
      </c>
      <c r="K98" s="45" t="inlineStr">
        <is>
          <t>初赛缺赛（未入围）</t>
        </is>
      </c>
    </row>
    <row r="99" ht="20" customHeight="1">
      <c r="A99" s="43" t="n">
        <v>96</v>
      </c>
      <c r="B99" s="43" t="inlineStr">
        <is>
          <t>262100007083</t>
        </is>
      </c>
      <c r="C99" s="43" t="inlineStr">
        <is>
          <t>女</t>
        </is>
      </c>
      <c r="D99" s="43" t="inlineStr">
        <is>
          <t>否</t>
        </is>
      </c>
      <c r="E99" s="43" t="n">
        <v>96</v>
      </c>
      <c r="F99" s="44" t="n">
        <v>0</v>
      </c>
      <c r="G99" s="43" t="inlineStr">
        <is>
          <t>/</t>
        </is>
      </c>
      <c r="H99" s="43" t="inlineStr">
        <is>
          <t>/</t>
        </is>
      </c>
      <c r="I99" s="43" t="inlineStr">
        <is>
          <t>/</t>
        </is>
      </c>
      <c r="J99" s="43" t="inlineStr">
        <is>
          <t>/</t>
        </is>
      </c>
      <c r="K99" s="43" t="inlineStr">
        <is>
          <t>初赛缺赛（未入围）</t>
        </is>
      </c>
    </row>
    <row r="100" ht="20" customHeight="1">
      <c r="A100" s="45" t="n">
        <v>97</v>
      </c>
      <c r="B100" s="45" t="inlineStr">
        <is>
          <t>262100007092</t>
        </is>
      </c>
      <c r="C100" s="45" t="inlineStr">
        <is>
          <t>男</t>
        </is>
      </c>
      <c r="D100" s="45" t="inlineStr">
        <is>
          <t>否</t>
        </is>
      </c>
      <c r="E100" s="45" t="n">
        <v>97</v>
      </c>
      <c r="F100" s="46" t="n">
        <v>0</v>
      </c>
      <c r="G100" s="45" t="inlineStr">
        <is>
          <t>/</t>
        </is>
      </c>
      <c r="H100" s="45" t="inlineStr">
        <is>
          <t>/</t>
        </is>
      </c>
      <c r="I100" s="45" t="inlineStr">
        <is>
          <t>/</t>
        </is>
      </c>
      <c r="J100" s="45" t="inlineStr">
        <is>
          <t>/</t>
        </is>
      </c>
      <c r="K100" s="45" t="inlineStr">
        <is>
          <t>初赛缺赛（未入围）</t>
        </is>
      </c>
    </row>
    <row r="101" ht="20" customHeight="1">
      <c r="A101" s="43" t="n">
        <v>98</v>
      </c>
      <c r="B101" s="43" t="inlineStr">
        <is>
          <t>262100007101</t>
        </is>
      </c>
      <c r="C101" s="43" t="inlineStr">
        <is>
          <t>女</t>
        </is>
      </c>
      <c r="D101" s="43" t="inlineStr">
        <is>
          <t>否</t>
        </is>
      </c>
      <c r="E101" s="43" t="n">
        <v>98</v>
      </c>
      <c r="F101" s="44" t="n">
        <v>0</v>
      </c>
      <c r="G101" s="43" t="inlineStr">
        <is>
          <t>/</t>
        </is>
      </c>
      <c r="H101" s="43" t="inlineStr">
        <is>
          <t>/</t>
        </is>
      </c>
      <c r="I101" s="43" t="inlineStr">
        <is>
          <t>/</t>
        </is>
      </c>
      <c r="J101" s="43" t="inlineStr">
        <is>
          <t>/</t>
        </is>
      </c>
      <c r="K101" s="43" t="inlineStr">
        <is>
          <t>初赛缺赛（未入围）</t>
        </is>
      </c>
    </row>
    <row r="102" ht="20" customHeight="1">
      <c r="A102" s="45" t="n">
        <v>99</v>
      </c>
      <c r="B102" s="45" t="inlineStr">
        <is>
          <t>262100007108</t>
        </is>
      </c>
      <c r="C102" s="45" t="inlineStr">
        <is>
          <t>男</t>
        </is>
      </c>
      <c r="D102" s="45" t="inlineStr">
        <is>
          <t>否</t>
        </is>
      </c>
      <c r="E102" s="45" t="n">
        <v>99</v>
      </c>
      <c r="F102" s="46" t="n">
        <v>0</v>
      </c>
      <c r="G102" s="45" t="inlineStr">
        <is>
          <t>/</t>
        </is>
      </c>
      <c r="H102" s="45" t="inlineStr">
        <is>
          <t>/</t>
        </is>
      </c>
      <c r="I102" s="45" t="inlineStr">
        <is>
          <t>/</t>
        </is>
      </c>
      <c r="J102" s="45" t="inlineStr">
        <is>
          <t>/</t>
        </is>
      </c>
      <c r="K102" s="45" t="inlineStr">
        <is>
          <t>初赛缺赛（未入围）</t>
        </is>
      </c>
    </row>
    <row r="103" ht="20" customHeight="1">
      <c r="A103" s="43" t="n">
        <v>100</v>
      </c>
      <c r="B103" s="43" t="inlineStr">
        <is>
          <t>262100007164</t>
        </is>
      </c>
      <c r="C103" s="43" t="inlineStr">
        <is>
          <t>男</t>
        </is>
      </c>
      <c r="D103" s="43" t="inlineStr">
        <is>
          <t>否</t>
        </is>
      </c>
      <c r="E103" s="43" t="n">
        <v>100</v>
      </c>
      <c r="F103" s="44" t="n">
        <v>0</v>
      </c>
      <c r="G103" s="43" t="inlineStr">
        <is>
          <t>/</t>
        </is>
      </c>
      <c r="H103" s="43" t="inlineStr">
        <is>
          <t>/</t>
        </is>
      </c>
      <c r="I103" s="43" t="inlineStr">
        <is>
          <t>/</t>
        </is>
      </c>
      <c r="J103" s="43" t="inlineStr">
        <is>
          <t>/</t>
        </is>
      </c>
      <c r="K103" s="43" t="inlineStr">
        <is>
          <t>初赛缺赛（未入围）</t>
        </is>
      </c>
    </row>
    <row r="104" ht="20" customHeight="1">
      <c r="A104" s="45" t="n">
        <v>101</v>
      </c>
      <c r="B104" s="45" t="inlineStr">
        <is>
          <t>262100007112</t>
        </is>
      </c>
      <c r="C104" s="45" t="inlineStr">
        <is>
          <t>女</t>
        </is>
      </c>
      <c r="D104" s="45" t="inlineStr">
        <is>
          <t>否</t>
        </is>
      </c>
      <c r="E104" s="45" t="n">
        <v>101</v>
      </c>
      <c r="F104" s="46" t="n">
        <v>0</v>
      </c>
      <c r="G104" s="45" t="inlineStr">
        <is>
          <t>/</t>
        </is>
      </c>
      <c r="H104" s="45" t="inlineStr">
        <is>
          <t>/</t>
        </is>
      </c>
      <c r="I104" s="45" t="inlineStr">
        <is>
          <t>/</t>
        </is>
      </c>
      <c r="J104" s="45" t="inlineStr">
        <is>
          <t>/</t>
        </is>
      </c>
      <c r="K104" s="45" t="inlineStr">
        <is>
          <t>初赛缺赛（未入围）</t>
        </is>
      </c>
    </row>
    <row r="105" ht="20" customHeight="1">
      <c r="A105" s="43" t="n">
        <v>102</v>
      </c>
      <c r="B105" s="43" t="inlineStr">
        <is>
          <t>262100007158</t>
        </is>
      </c>
      <c r="C105" s="43" t="inlineStr">
        <is>
          <t>男</t>
        </is>
      </c>
      <c r="D105" s="43" t="inlineStr">
        <is>
          <t>否</t>
        </is>
      </c>
      <c r="E105" s="43" t="n">
        <v>102</v>
      </c>
      <c r="F105" s="44" t="n">
        <v>0</v>
      </c>
      <c r="G105" s="43" t="inlineStr">
        <is>
          <t>/</t>
        </is>
      </c>
      <c r="H105" s="43" t="inlineStr">
        <is>
          <t>/</t>
        </is>
      </c>
      <c r="I105" s="43" t="inlineStr">
        <is>
          <t>/</t>
        </is>
      </c>
      <c r="J105" s="43" t="inlineStr">
        <is>
          <t>/</t>
        </is>
      </c>
      <c r="K105" s="43" t="inlineStr">
        <is>
          <t>初赛缺赛（未入围）</t>
        </is>
      </c>
    </row>
    <row r="106" ht="20" customHeight="1">
      <c r="A106" s="45" t="n">
        <v>103</v>
      </c>
      <c r="B106" s="45" t="inlineStr">
        <is>
          <t>262100007161</t>
        </is>
      </c>
      <c r="C106" s="45" t="inlineStr">
        <is>
          <t>男</t>
        </is>
      </c>
      <c r="D106" s="45" t="inlineStr">
        <is>
          <t>否</t>
        </is>
      </c>
      <c r="E106" s="45" t="n">
        <v>103</v>
      </c>
      <c r="F106" s="46" t="n">
        <v>0</v>
      </c>
      <c r="G106" s="45" t="inlineStr">
        <is>
          <t>/</t>
        </is>
      </c>
      <c r="H106" s="45" t="inlineStr">
        <is>
          <t>/</t>
        </is>
      </c>
      <c r="I106" s="45" t="inlineStr">
        <is>
          <t>/</t>
        </is>
      </c>
      <c r="J106" s="45" t="inlineStr">
        <is>
          <t>/</t>
        </is>
      </c>
      <c r="K106" s="45" t="inlineStr">
        <is>
          <t>初赛缺赛（未入围）</t>
        </is>
      </c>
    </row>
    <row r="107" ht="20" customHeight="1">
      <c r="A107" s="43" t="n">
        <v>104</v>
      </c>
      <c r="B107" s="43" t="inlineStr">
        <is>
          <t>262100007153</t>
        </is>
      </c>
      <c r="C107" s="43" t="inlineStr">
        <is>
          <t>女</t>
        </is>
      </c>
      <c r="D107" s="43" t="inlineStr">
        <is>
          <t>否</t>
        </is>
      </c>
      <c r="E107" s="43" t="n">
        <v>104</v>
      </c>
      <c r="F107" s="44" t="n">
        <v>0</v>
      </c>
      <c r="G107" s="43" t="inlineStr">
        <is>
          <t>/</t>
        </is>
      </c>
      <c r="H107" s="43" t="inlineStr">
        <is>
          <t>/</t>
        </is>
      </c>
      <c r="I107" s="43" t="inlineStr">
        <is>
          <t>/</t>
        </is>
      </c>
      <c r="J107" s="43" t="inlineStr">
        <is>
          <t>/</t>
        </is>
      </c>
      <c r="K107" s="43" t="inlineStr">
        <is>
          <t>初赛缺赛（未入围）</t>
        </is>
      </c>
    </row>
    <row r="108" ht="20" customHeight="1">
      <c r="A108" s="45" t="n">
        <v>105</v>
      </c>
      <c r="B108" s="45" t="inlineStr">
        <is>
          <t>262100007047</t>
        </is>
      </c>
      <c r="C108" s="45" t="inlineStr">
        <is>
          <t>男</t>
        </is>
      </c>
      <c r="D108" s="45" t="inlineStr">
        <is>
          <t>否</t>
        </is>
      </c>
      <c r="E108" s="45" t="n">
        <v>105</v>
      </c>
      <c r="F108" s="46" t="n">
        <v>0</v>
      </c>
      <c r="G108" s="45" t="inlineStr">
        <is>
          <t>/</t>
        </is>
      </c>
      <c r="H108" s="45" t="inlineStr">
        <is>
          <t>/</t>
        </is>
      </c>
      <c r="I108" s="45" t="inlineStr">
        <is>
          <t>/</t>
        </is>
      </c>
      <c r="J108" s="45" t="inlineStr">
        <is>
          <t>/</t>
        </is>
      </c>
      <c r="K108" s="45" t="inlineStr">
        <is>
          <t>初赛缺赛（未入围）</t>
        </is>
      </c>
    </row>
    <row r="109" ht="20" customHeight="1">
      <c r="A109" s="43" t="n">
        <v>106</v>
      </c>
      <c r="B109" s="43" t="inlineStr">
        <is>
          <t>262100007178</t>
        </is>
      </c>
      <c r="C109" s="43" t="inlineStr">
        <is>
          <t>男</t>
        </is>
      </c>
      <c r="D109" s="43" t="inlineStr">
        <is>
          <t>否</t>
        </is>
      </c>
      <c r="E109" s="43" t="n">
        <v>106</v>
      </c>
      <c r="F109" s="44" t="n">
        <v>0</v>
      </c>
      <c r="G109" s="43" t="inlineStr">
        <is>
          <t>/</t>
        </is>
      </c>
      <c r="H109" s="43" t="inlineStr">
        <is>
          <t>/</t>
        </is>
      </c>
      <c r="I109" s="43" t="inlineStr">
        <is>
          <t>/</t>
        </is>
      </c>
      <c r="J109" s="43" t="inlineStr">
        <is>
          <t>/</t>
        </is>
      </c>
      <c r="K109" s="43" t="inlineStr">
        <is>
          <t>初赛缺赛（未入围）</t>
        </is>
      </c>
    </row>
    <row r="110" ht="20" customHeight="1">
      <c r="A110" s="45" t="n">
        <v>107</v>
      </c>
      <c r="B110" s="45" t="inlineStr">
        <is>
          <t>262100007179</t>
        </is>
      </c>
      <c r="C110" s="45" t="inlineStr">
        <is>
          <t>男</t>
        </is>
      </c>
      <c r="D110" s="45" t="inlineStr">
        <is>
          <t>否</t>
        </is>
      </c>
      <c r="E110" s="45" t="n">
        <v>107</v>
      </c>
      <c r="F110" s="46" t="n">
        <v>0</v>
      </c>
      <c r="G110" s="45" t="inlineStr">
        <is>
          <t>/</t>
        </is>
      </c>
      <c r="H110" s="45" t="inlineStr">
        <is>
          <t>/</t>
        </is>
      </c>
      <c r="I110" s="45" t="inlineStr">
        <is>
          <t>/</t>
        </is>
      </c>
      <c r="J110" s="45" t="inlineStr">
        <is>
          <t>/</t>
        </is>
      </c>
      <c r="K110" s="45" t="inlineStr">
        <is>
          <t>初赛缺赛（未入围）</t>
        </is>
      </c>
    </row>
    <row r="111" ht="20" customHeight="1">
      <c r="A111" s="43" t="n">
        <v>108</v>
      </c>
      <c r="B111" s="43" t="inlineStr">
        <is>
          <t>262100007107</t>
        </is>
      </c>
      <c r="C111" s="43" t="inlineStr">
        <is>
          <t>女</t>
        </is>
      </c>
      <c r="D111" s="43" t="inlineStr">
        <is>
          <t>否</t>
        </is>
      </c>
      <c r="E111" s="43" t="n">
        <v>108</v>
      </c>
      <c r="F111" s="44" t="n">
        <v>0</v>
      </c>
      <c r="G111" s="43" t="inlineStr">
        <is>
          <t>/</t>
        </is>
      </c>
      <c r="H111" s="43" t="inlineStr">
        <is>
          <t>/</t>
        </is>
      </c>
      <c r="I111" s="43" t="inlineStr">
        <is>
          <t>/</t>
        </is>
      </c>
      <c r="J111" s="43" t="inlineStr">
        <is>
          <t>/</t>
        </is>
      </c>
      <c r="K111" s="43" t="inlineStr">
        <is>
          <t>初赛缺赛（未入围）</t>
        </is>
      </c>
    </row>
    <row r="112" ht="20" customHeight="1">
      <c r="A112" s="45" t="n">
        <v>109</v>
      </c>
      <c r="B112" s="45" t="inlineStr">
        <is>
          <t>262100007021</t>
        </is>
      </c>
      <c r="C112" s="45" t="inlineStr">
        <is>
          <t>男</t>
        </is>
      </c>
      <c r="D112" s="45" t="inlineStr">
        <is>
          <t>否</t>
        </is>
      </c>
      <c r="E112" s="45" t="n">
        <v>109</v>
      </c>
      <c r="F112" s="46" t="n">
        <v>0</v>
      </c>
      <c r="G112" s="45" t="inlineStr">
        <is>
          <t>/</t>
        </is>
      </c>
      <c r="H112" s="45" t="inlineStr">
        <is>
          <t>/</t>
        </is>
      </c>
      <c r="I112" s="45" t="inlineStr">
        <is>
          <t>/</t>
        </is>
      </c>
      <c r="J112" s="45" t="inlineStr">
        <is>
          <t>/</t>
        </is>
      </c>
      <c r="K112" s="45" t="inlineStr">
        <is>
          <t>初赛缺赛（未入围）</t>
        </is>
      </c>
    </row>
    <row r="113" ht="20" customHeight="1">
      <c r="A113" s="43" t="n">
        <v>110</v>
      </c>
      <c r="B113" s="43" t="inlineStr">
        <is>
          <t>262100007186</t>
        </is>
      </c>
      <c r="C113" s="43" t="inlineStr">
        <is>
          <t>男</t>
        </is>
      </c>
      <c r="D113" s="43" t="inlineStr">
        <is>
          <t>否</t>
        </is>
      </c>
      <c r="E113" s="43" t="n">
        <v>110</v>
      </c>
      <c r="F113" s="44" t="n">
        <v>0</v>
      </c>
      <c r="G113" s="43" t="inlineStr">
        <is>
          <t>/</t>
        </is>
      </c>
      <c r="H113" s="43" t="inlineStr">
        <is>
          <t>/</t>
        </is>
      </c>
      <c r="I113" s="43" t="inlineStr">
        <is>
          <t>/</t>
        </is>
      </c>
      <c r="J113" s="43" t="inlineStr">
        <is>
          <t>/</t>
        </is>
      </c>
      <c r="K113" s="43" t="inlineStr">
        <is>
          <t>初赛缺赛（未入围）</t>
        </is>
      </c>
    </row>
    <row r="114" ht="20" customHeight="1">
      <c r="A114" s="45" t="n">
        <v>111</v>
      </c>
      <c r="B114" s="45" t="inlineStr">
        <is>
          <t>262100007141</t>
        </is>
      </c>
      <c r="C114" s="45" t="inlineStr">
        <is>
          <t>男</t>
        </is>
      </c>
      <c r="D114" s="45" t="inlineStr">
        <is>
          <t>否</t>
        </is>
      </c>
      <c r="E114" s="45" t="n">
        <v>111</v>
      </c>
      <c r="F114" s="46" t="n">
        <v>0</v>
      </c>
      <c r="G114" s="45" t="inlineStr">
        <is>
          <t>/</t>
        </is>
      </c>
      <c r="H114" s="45" t="inlineStr">
        <is>
          <t>/</t>
        </is>
      </c>
      <c r="I114" s="45" t="inlineStr">
        <is>
          <t>/</t>
        </is>
      </c>
      <c r="J114" s="45" t="inlineStr">
        <is>
          <t>/</t>
        </is>
      </c>
      <c r="K114" s="45" t="inlineStr">
        <is>
          <t>初赛缺赛（未入围）</t>
        </is>
      </c>
    </row>
    <row r="115" ht="20" customHeight="1">
      <c r="A115" s="43" t="n">
        <v>112</v>
      </c>
      <c r="B115" s="43" t="inlineStr">
        <is>
          <t>262100007125</t>
        </is>
      </c>
      <c r="C115" s="43" t="inlineStr">
        <is>
          <t>女</t>
        </is>
      </c>
      <c r="D115" s="43" t="inlineStr">
        <is>
          <t>否</t>
        </is>
      </c>
      <c r="E115" s="43" t="n">
        <v>112</v>
      </c>
      <c r="F115" s="44" t="n">
        <v>0</v>
      </c>
      <c r="G115" s="43" t="inlineStr">
        <is>
          <t>/</t>
        </is>
      </c>
      <c r="H115" s="43" t="inlineStr">
        <is>
          <t>/</t>
        </is>
      </c>
      <c r="I115" s="43" t="inlineStr">
        <is>
          <t>/</t>
        </is>
      </c>
      <c r="J115" s="43" t="inlineStr">
        <is>
          <t>/</t>
        </is>
      </c>
      <c r="K115" s="43" t="inlineStr">
        <is>
          <t>初赛缺赛（未入围）</t>
        </is>
      </c>
    </row>
    <row r="116" ht="20" customHeight="1">
      <c r="A116" s="45" t="n">
        <v>113</v>
      </c>
      <c r="B116" s="45" t="inlineStr">
        <is>
          <t>262100007149</t>
        </is>
      </c>
      <c r="C116" s="45" t="inlineStr">
        <is>
          <t>男</t>
        </is>
      </c>
      <c r="D116" s="45" t="inlineStr">
        <is>
          <t>否</t>
        </is>
      </c>
      <c r="E116" s="45" t="n">
        <v>113</v>
      </c>
      <c r="F116" s="46" t="n">
        <v>0</v>
      </c>
      <c r="G116" s="45" t="inlineStr">
        <is>
          <t>/</t>
        </is>
      </c>
      <c r="H116" s="45" t="inlineStr">
        <is>
          <t>/</t>
        </is>
      </c>
      <c r="I116" s="45" t="inlineStr">
        <is>
          <t>/</t>
        </is>
      </c>
      <c r="J116" s="45" t="inlineStr">
        <is>
          <t>/</t>
        </is>
      </c>
      <c r="K116" s="45" t="inlineStr">
        <is>
          <t>初赛缺赛（未入围）</t>
        </is>
      </c>
    </row>
    <row r="117" ht="20" customHeight="1">
      <c r="A117" s="43" t="n">
        <v>114</v>
      </c>
      <c r="B117" s="43" t="inlineStr">
        <is>
          <t>262100007102</t>
        </is>
      </c>
      <c r="C117" s="43" t="inlineStr">
        <is>
          <t>女</t>
        </is>
      </c>
      <c r="D117" s="43" t="inlineStr">
        <is>
          <t>否</t>
        </is>
      </c>
      <c r="E117" s="43" t="n">
        <v>114</v>
      </c>
      <c r="F117" s="44" t="n">
        <v>0</v>
      </c>
      <c r="G117" s="43" t="inlineStr">
        <is>
          <t>/</t>
        </is>
      </c>
      <c r="H117" s="43" t="inlineStr">
        <is>
          <t>/</t>
        </is>
      </c>
      <c r="I117" s="43" t="inlineStr">
        <is>
          <t>/</t>
        </is>
      </c>
      <c r="J117" s="43" t="inlineStr">
        <is>
          <t>/</t>
        </is>
      </c>
      <c r="K117" s="43" t="inlineStr">
        <is>
          <t>初赛缺赛（未入围）</t>
        </is>
      </c>
    </row>
    <row r="118" ht="20" customHeight="1">
      <c r="A118" s="45" t="n">
        <v>115</v>
      </c>
      <c r="B118" s="45" t="inlineStr">
        <is>
          <t>262100007061</t>
        </is>
      </c>
      <c r="C118" s="45" t="inlineStr">
        <is>
          <t>女</t>
        </is>
      </c>
      <c r="D118" s="45" t="inlineStr">
        <is>
          <t>否</t>
        </is>
      </c>
      <c r="E118" s="45" t="n">
        <v>115</v>
      </c>
      <c r="F118" s="46" t="n">
        <v>0</v>
      </c>
      <c r="G118" s="45" t="inlineStr">
        <is>
          <t>/</t>
        </is>
      </c>
      <c r="H118" s="45" t="inlineStr">
        <is>
          <t>/</t>
        </is>
      </c>
      <c r="I118" s="45" t="inlineStr">
        <is>
          <t>/</t>
        </is>
      </c>
      <c r="J118" s="45" t="inlineStr">
        <is>
          <t>/</t>
        </is>
      </c>
      <c r="K118" s="45" t="inlineStr">
        <is>
          <t>初赛缺赛（未入围）</t>
        </is>
      </c>
    </row>
    <row r="119" ht="20" customHeight="1">
      <c r="A119" s="43" t="n">
        <v>116</v>
      </c>
      <c r="B119" s="43" t="inlineStr">
        <is>
          <t>262100007165</t>
        </is>
      </c>
      <c r="C119" s="43" t="inlineStr">
        <is>
          <t>男</t>
        </is>
      </c>
      <c r="D119" s="43" t="inlineStr">
        <is>
          <t>否</t>
        </is>
      </c>
      <c r="E119" s="43" t="n">
        <v>116</v>
      </c>
      <c r="F119" s="44" t="n">
        <v>0</v>
      </c>
      <c r="G119" s="43" t="inlineStr">
        <is>
          <t>/</t>
        </is>
      </c>
      <c r="H119" s="43" t="inlineStr">
        <is>
          <t>/</t>
        </is>
      </c>
      <c r="I119" s="43" t="inlineStr">
        <is>
          <t>/</t>
        </is>
      </c>
      <c r="J119" s="43" t="inlineStr">
        <is>
          <t>/</t>
        </is>
      </c>
      <c r="K119" s="43" t="inlineStr">
        <is>
          <t>初赛缺赛（未入围）</t>
        </is>
      </c>
    </row>
    <row r="120" ht="20" customHeight="1">
      <c r="A120" s="45" t="n">
        <v>117</v>
      </c>
      <c r="B120" s="45" t="inlineStr">
        <is>
          <t>262100007053</t>
        </is>
      </c>
      <c r="C120" s="45" t="inlineStr">
        <is>
          <t>男</t>
        </is>
      </c>
      <c r="D120" s="45" t="inlineStr">
        <is>
          <t>否</t>
        </is>
      </c>
      <c r="E120" s="45" t="n">
        <v>117</v>
      </c>
      <c r="F120" s="46" t="n">
        <v>0</v>
      </c>
      <c r="G120" s="45" t="inlineStr">
        <is>
          <t>/</t>
        </is>
      </c>
      <c r="H120" s="45" t="inlineStr">
        <is>
          <t>/</t>
        </is>
      </c>
      <c r="I120" s="45" t="inlineStr">
        <is>
          <t>/</t>
        </is>
      </c>
      <c r="J120" s="45" t="inlineStr">
        <is>
          <t>/</t>
        </is>
      </c>
      <c r="K120" s="45" t="inlineStr">
        <is>
          <t>初赛缺赛（未入围）</t>
        </is>
      </c>
    </row>
    <row r="121" ht="20" customHeight="1">
      <c r="A121" s="43" t="n">
        <v>118</v>
      </c>
      <c r="B121" s="43" t="inlineStr">
        <is>
          <t>262100007146</t>
        </is>
      </c>
      <c r="C121" s="43" t="inlineStr">
        <is>
          <t>男</t>
        </is>
      </c>
      <c r="D121" s="43" t="inlineStr">
        <is>
          <t>否</t>
        </is>
      </c>
      <c r="E121" s="43" t="n">
        <v>118</v>
      </c>
      <c r="F121" s="44" t="n">
        <v>0</v>
      </c>
      <c r="G121" s="43" t="inlineStr">
        <is>
          <t>/</t>
        </is>
      </c>
      <c r="H121" s="43" t="inlineStr">
        <is>
          <t>/</t>
        </is>
      </c>
      <c r="I121" s="43" t="inlineStr">
        <is>
          <t>/</t>
        </is>
      </c>
      <c r="J121" s="43" t="inlineStr">
        <is>
          <t>/</t>
        </is>
      </c>
      <c r="K121" s="43" t="inlineStr">
        <is>
          <t>初赛缺赛（未入围）</t>
        </is>
      </c>
    </row>
    <row r="122" ht="20" customHeight="1">
      <c r="A122" s="45" t="n">
        <v>119</v>
      </c>
      <c r="B122" s="45" t="inlineStr">
        <is>
          <t>262100007062</t>
        </is>
      </c>
      <c r="C122" s="45" t="inlineStr">
        <is>
          <t>男</t>
        </is>
      </c>
      <c r="D122" s="45" t="inlineStr">
        <is>
          <t>否</t>
        </is>
      </c>
      <c r="E122" s="45" t="n">
        <v>119</v>
      </c>
      <c r="F122" s="46" t="n">
        <v>0</v>
      </c>
      <c r="G122" s="45" t="inlineStr">
        <is>
          <t>/</t>
        </is>
      </c>
      <c r="H122" s="45" t="inlineStr">
        <is>
          <t>/</t>
        </is>
      </c>
      <c r="I122" s="45" t="inlineStr">
        <is>
          <t>/</t>
        </is>
      </c>
      <c r="J122" s="45" t="inlineStr">
        <is>
          <t>/</t>
        </is>
      </c>
      <c r="K122" s="45" t="inlineStr">
        <is>
          <t>初赛缺赛（未入围）</t>
        </is>
      </c>
    </row>
    <row r="123" ht="20" customHeight="1">
      <c r="A123" s="43" t="n">
        <v>120</v>
      </c>
      <c r="B123" s="43" t="inlineStr">
        <is>
          <t>262100007173</t>
        </is>
      </c>
      <c r="C123" s="43" t="inlineStr">
        <is>
          <t>男</t>
        </is>
      </c>
      <c r="D123" s="43" t="inlineStr">
        <is>
          <t>否</t>
        </is>
      </c>
      <c r="E123" s="43" t="n">
        <v>120</v>
      </c>
      <c r="F123" s="44" t="n">
        <v>0</v>
      </c>
      <c r="G123" s="43" t="inlineStr">
        <is>
          <t>/</t>
        </is>
      </c>
      <c r="H123" s="43" t="inlineStr">
        <is>
          <t>/</t>
        </is>
      </c>
      <c r="I123" s="43" t="inlineStr">
        <is>
          <t>/</t>
        </is>
      </c>
      <c r="J123" s="43" t="inlineStr">
        <is>
          <t>/</t>
        </is>
      </c>
      <c r="K123" s="43" t="inlineStr">
        <is>
          <t>初赛缺赛（未入围）</t>
        </is>
      </c>
    </row>
    <row r="124" ht="20" customHeight="1">
      <c r="A124" s="45" t="n">
        <v>121</v>
      </c>
      <c r="B124" s="45" t="inlineStr">
        <is>
          <t>262100007105</t>
        </is>
      </c>
      <c r="C124" s="45" t="inlineStr">
        <is>
          <t>女</t>
        </is>
      </c>
      <c r="D124" s="45" t="inlineStr">
        <is>
          <t>否</t>
        </is>
      </c>
      <c r="E124" s="45" t="n">
        <v>121</v>
      </c>
      <c r="F124" s="46" t="n">
        <v>0</v>
      </c>
      <c r="G124" s="45" t="inlineStr">
        <is>
          <t>/</t>
        </is>
      </c>
      <c r="H124" s="45" t="inlineStr">
        <is>
          <t>/</t>
        </is>
      </c>
      <c r="I124" s="45" t="inlineStr">
        <is>
          <t>/</t>
        </is>
      </c>
      <c r="J124" s="45" t="inlineStr">
        <is>
          <t>/</t>
        </is>
      </c>
      <c r="K124" s="45" t="inlineStr">
        <is>
          <t>初赛缺赛（未入围）</t>
        </is>
      </c>
    </row>
    <row r="125" ht="20" customHeight="1">
      <c r="A125" s="43" t="n">
        <v>122</v>
      </c>
      <c r="B125" s="43" t="inlineStr">
        <is>
          <t>262100007132</t>
        </is>
      </c>
      <c r="C125" s="43" t="inlineStr">
        <is>
          <t>男</t>
        </is>
      </c>
      <c r="D125" s="43" t="inlineStr">
        <is>
          <t>否</t>
        </is>
      </c>
      <c r="E125" s="43" t="n">
        <v>122</v>
      </c>
      <c r="F125" s="44" t="n">
        <v>0</v>
      </c>
      <c r="G125" s="43" t="inlineStr">
        <is>
          <t>/</t>
        </is>
      </c>
      <c r="H125" s="43" t="inlineStr">
        <is>
          <t>/</t>
        </is>
      </c>
      <c r="I125" s="43" t="inlineStr">
        <is>
          <t>/</t>
        </is>
      </c>
      <c r="J125" s="43" t="inlineStr">
        <is>
          <t>/</t>
        </is>
      </c>
      <c r="K125" s="43" t="inlineStr">
        <is>
          <t>初赛缺赛（未入围）</t>
        </is>
      </c>
    </row>
    <row r="126" ht="20" customHeight="1">
      <c r="A126" s="45" t="n">
        <v>123</v>
      </c>
      <c r="B126" s="45" t="inlineStr">
        <is>
          <t>262100007115</t>
        </is>
      </c>
      <c r="C126" s="45" t="inlineStr">
        <is>
          <t>女</t>
        </is>
      </c>
      <c r="D126" s="45" t="inlineStr">
        <is>
          <t>否</t>
        </is>
      </c>
      <c r="E126" s="45" t="n">
        <v>123</v>
      </c>
      <c r="F126" s="46" t="n">
        <v>0</v>
      </c>
      <c r="G126" s="45" t="inlineStr">
        <is>
          <t>/</t>
        </is>
      </c>
      <c r="H126" s="45" t="inlineStr">
        <is>
          <t>/</t>
        </is>
      </c>
      <c r="I126" s="45" t="inlineStr">
        <is>
          <t>/</t>
        </is>
      </c>
      <c r="J126" s="45" t="inlineStr">
        <is>
          <t>/</t>
        </is>
      </c>
      <c r="K126" s="45" t="inlineStr">
        <is>
          <t>初赛缺赛（未入围）</t>
        </is>
      </c>
    </row>
    <row r="127" ht="20" customHeight="1">
      <c r="A127" s="43" t="n">
        <v>124</v>
      </c>
      <c r="B127" s="43" t="inlineStr">
        <is>
          <t>262100007095</t>
        </is>
      </c>
      <c r="C127" s="43" t="inlineStr">
        <is>
          <t>女</t>
        </is>
      </c>
      <c r="D127" s="43" t="inlineStr">
        <is>
          <t>否</t>
        </is>
      </c>
      <c r="E127" s="43" t="n">
        <v>124</v>
      </c>
      <c r="F127" s="44" t="n">
        <v>0</v>
      </c>
      <c r="G127" s="43" t="inlineStr">
        <is>
          <t>/</t>
        </is>
      </c>
      <c r="H127" s="43" t="inlineStr">
        <is>
          <t>/</t>
        </is>
      </c>
      <c r="I127" s="43" t="inlineStr">
        <is>
          <t>/</t>
        </is>
      </c>
      <c r="J127" s="43" t="inlineStr">
        <is>
          <t>/</t>
        </is>
      </c>
      <c r="K127" s="43" t="inlineStr">
        <is>
          <t>初赛缺赛（未入围）</t>
        </is>
      </c>
    </row>
    <row r="128" ht="20" customHeight="1">
      <c r="A128" s="45" t="n">
        <v>125</v>
      </c>
      <c r="B128" s="45" t="inlineStr">
        <is>
          <t>262100007148</t>
        </is>
      </c>
      <c r="C128" s="45" t="inlineStr">
        <is>
          <t>女</t>
        </is>
      </c>
      <c r="D128" s="45" t="inlineStr">
        <is>
          <t>否</t>
        </is>
      </c>
      <c r="E128" s="45" t="n">
        <v>125</v>
      </c>
      <c r="F128" s="46" t="n">
        <v>0</v>
      </c>
      <c r="G128" s="45" t="inlineStr">
        <is>
          <t>/</t>
        </is>
      </c>
      <c r="H128" s="45" t="inlineStr">
        <is>
          <t>/</t>
        </is>
      </c>
      <c r="I128" s="45" t="inlineStr">
        <is>
          <t>/</t>
        </is>
      </c>
      <c r="J128" s="45" t="inlineStr">
        <is>
          <t>/</t>
        </is>
      </c>
      <c r="K128" s="45" t="inlineStr">
        <is>
          <t>初赛缺赛（未入围）</t>
        </is>
      </c>
    </row>
    <row r="129" ht="20" customHeight="1">
      <c r="A129" s="43" t="n">
        <v>126</v>
      </c>
      <c r="B129" s="43" t="inlineStr">
        <is>
          <t>262100007046</t>
        </is>
      </c>
      <c r="C129" s="43" t="inlineStr">
        <is>
          <t>男</t>
        </is>
      </c>
      <c r="D129" s="43" t="inlineStr">
        <is>
          <t>否</t>
        </is>
      </c>
      <c r="E129" s="43" t="n">
        <v>126</v>
      </c>
      <c r="F129" s="44" t="n">
        <v>0</v>
      </c>
      <c r="G129" s="43" t="inlineStr">
        <is>
          <t>/</t>
        </is>
      </c>
      <c r="H129" s="43" t="inlineStr">
        <is>
          <t>/</t>
        </is>
      </c>
      <c r="I129" s="43" t="inlineStr">
        <is>
          <t>/</t>
        </is>
      </c>
      <c r="J129" s="43" t="inlineStr">
        <is>
          <t>/</t>
        </is>
      </c>
      <c r="K129" s="43" t="inlineStr">
        <is>
          <t>初赛缺赛（未入围）</t>
        </is>
      </c>
    </row>
    <row r="130" ht="20" customHeight="1">
      <c r="A130" s="45" t="n">
        <v>127</v>
      </c>
      <c r="B130" s="45" t="inlineStr">
        <is>
          <t>262100007163</t>
        </is>
      </c>
      <c r="C130" s="45" t="inlineStr">
        <is>
          <t>男</t>
        </is>
      </c>
      <c r="D130" s="45" t="inlineStr">
        <is>
          <t>否</t>
        </is>
      </c>
      <c r="E130" s="45" t="n">
        <v>127</v>
      </c>
      <c r="F130" s="46" t="n">
        <v>0</v>
      </c>
      <c r="G130" s="45" t="inlineStr">
        <is>
          <t>/</t>
        </is>
      </c>
      <c r="H130" s="45" t="inlineStr">
        <is>
          <t>/</t>
        </is>
      </c>
      <c r="I130" s="45" t="inlineStr">
        <is>
          <t>/</t>
        </is>
      </c>
      <c r="J130" s="45" t="inlineStr">
        <is>
          <t>/</t>
        </is>
      </c>
      <c r="K130" s="45" t="inlineStr">
        <is>
          <t>初赛缺赛（未入围）</t>
        </is>
      </c>
    </row>
    <row r="131" ht="20" customHeight="1">
      <c r="A131" s="43" t="n">
        <v>128</v>
      </c>
      <c r="B131" s="43" t="inlineStr">
        <is>
          <t>262100007055</t>
        </is>
      </c>
      <c r="C131" s="43" t="inlineStr">
        <is>
          <t>女</t>
        </is>
      </c>
      <c r="D131" s="43" t="inlineStr">
        <is>
          <t>否</t>
        </is>
      </c>
      <c r="E131" s="43" t="n">
        <v>128</v>
      </c>
      <c r="F131" s="44" t="n">
        <v>0</v>
      </c>
      <c r="G131" s="43" t="inlineStr">
        <is>
          <t>/</t>
        </is>
      </c>
      <c r="H131" s="43" t="inlineStr">
        <is>
          <t>/</t>
        </is>
      </c>
      <c r="I131" s="43" t="inlineStr">
        <is>
          <t>/</t>
        </is>
      </c>
      <c r="J131" s="43" t="inlineStr">
        <is>
          <t>/</t>
        </is>
      </c>
      <c r="K131" s="43" t="inlineStr">
        <is>
          <t>初赛缺赛（未入围）</t>
        </is>
      </c>
    </row>
    <row r="132" ht="20" customHeight="1">
      <c r="A132" s="45" t="n">
        <v>129</v>
      </c>
      <c r="B132" s="45" t="inlineStr">
        <is>
          <t>262100007027</t>
        </is>
      </c>
      <c r="C132" s="45" t="inlineStr">
        <is>
          <t>女</t>
        </is>
      </c>
      <c r="D132" s="45" t="inlineStr">
        <is>
          <t>否</t>
        </is>
      </c>
      <c r="E132" s="45" t="n">
        <v>129</v>
      </c>
      <c r="F132" s="46" t="n">
        <v>0</v>
      </c>
      <c r="G132" s="45" t="inlineStr">
        <is>
          <t>/</t>
        </is>
      </c>
      <c r="H132" s="45" t="inlineStr">
        <is>
          <t>/</t>
        </is>
      </c>
      <c r="I132" s="45" t="inlineStr">
        <is>
          <t>/</t>
        </is>
      </c>
      <c r="J132" s="45" t="inlineStr">
        <is>
          <t>/</t>
        </is>
      </c>
      <c r="K132" s="45" t="inlineStr">
        <is>
          <t>初赛缺赛（未入围）</t>
        </is>
      </c>
    </row>
    <row r="133" ht="20" customHeight="1">
      <c r="A133" s="43" t="n">
        <v>130</v>
      </c>
      <c r="B133" s="43" t="inlineStr">
        <is>
          <t>262100007066</t>
        </is>
      </c>
      <c r="C133" s="43" t="inlineStr">
        <is>
          <t>男</t>
        </is>
      </c>
      <c r="D133" s="43" t="inlineStr">
        <is>
          <t>否</t>
        </is>
      </c>
      <c r="E133" s="43" t="n">
        <v>130</v>
      </c>
      <c r="F133" s="44" t="n">
        <v>0</v>
      </c>
      <c r="G133" s="43" t="inlineStr">
        <is>
          <t>/</t>
        </is>
      </c>
      <c r="H133" s="43" t="inlineStr">
        <is>
          <t>/</t>
        </is>
      </c>
      <c r="I133" s="43" t="inlineStr">
        <is>
          <t>/</t>
        </is>
      </c>
      <c r="J133" s="43" t="inlineStr">
        <is>
          <t>/</t>
        </is>
      </c>
      <c r="K133" s="43" t="inlineStr">
        <is>
          <t>初赛缺赛（未入围）</t>
        </is>
      </c>
    </row>
    <row r="134" ht="20" customHeight="1">
      <c r="A134" s="45" t="n">
        <v>131</v>
      </c>
      <c r="B134" s="45" t="inlineStr">
        <is>
          <t>262100007118</t>
        </is>
      </c>
      <c r="C134" s="45" t="inlineStr">
        <is>
          <t>男</t>
        </is>
      </c>
      <c r="D134" s="45" t="inlineStr">
        <is>
          <t>否</t>
        </is>
      </c>
      <c r="E134" s="45" t="n">
        <v>131</v>
      </c>
      <c r="F134" s="46" t="n">
        <v>0</v>
      </c>
      <c r="G134" s="45" t="inlineStr">
        <is>
          <t>/</t>
        </is>
      </c>
      <c r="H134" s="45" t="inlineStr">
        <is>
          <t>/</t>
        </is>
      </c>
      <c r="I134" s="45" t="inlineStr">
        <is>
          <t>/</t>
        </is>
      </c>
      <c r="J134" s="45" t="inlineStr">
        <is>
          <t>/</t>
        </is>
      </c>
      <c r="K134" s="45" t="inlineStr">
        <is>
          <t>初赛缺赛（未入围）</t>
        </is>
      </c>
    </row>
    <row r="135" ht="20" customHeight="1">
      <c r="A135" s="43" t="n">
        <v>132</v>
      </c>
      <c r="B135" s="43" t="inlineStr">
        <is>
          <t>262100007011</t>
        </is>
      </c>
      <c r="C135" s="43" t="inlineStr">
        <is>
          <t>女</t>
        </is>
      </c>
      <c r="D135" s="43" t="inlineStr">
        <is>
          <t>否</t>
        </is>
      </c>
      <c r="E135" s="43" t="n">
        <v>132</v>
      </c>
      <c r="F135" s="44" t="n">
        <v>0</v>
      </c>
      <c r="G135" s="43" t="inlineStr">
        <is>
          <t>/</t>
        </is>
      </c>
      <c r="H135" s="43" t="inlineStr">
        <is>
          <t>/</t>
        </is>
      </c>
      <c r="I135" s="43" t="inlineStr">
        <is>
          <t>/</t>
        </is>
      </c>
      <c r="J135" s="43" t="inlineStr">
        <is>
          <t>/</t>
        </is>
      </c>
      <c r="K135" s="43" t="inlineStr">
        <is>
          <t>初赛缺赛（未入围）</t>
        </is>
      </c>
    </row>
  </sheetData>
  <autoFilter ref="A3:K135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4" customWidth="1" min="4" max="4"/>
    <col width="24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 ht="30" customHeight="1">
      <c r="A1" s="1" t="inlineStr">
        <is>
          <t>竞赛成绩统计分析看板 (Dashboard)</t>
        </is>
      </c>
    </row>
    <row r="3" ht="24" customHeight="1">
      <c r="A3" s="47" t="inlineStr">
        <is>
          <t>一、竞赛整体概况统计</t>
        </is>
      </c>
      <c r="E3" s="48" t="inlineStr">
        <is>
          <t>二、入围决赛 70 人综合成绩分段统计</t>
        </is>
      </c>
    </row>
    <row r="4" ht="20" customHeight="1">
      <c r="A4" s="49" t="inlineStr">
        <is>
          <t>初赛报名总人数</t>
        </is>
      </c>
      <c r="B4" s="50" t="n">
        <v>132</v>
      </c>
      <c r="C4" s="26" t="inlineStr">
        <is>
          <t>人</t>
        </is>
      </c>
      <c r="E4" s="51" t="inlineStr">
        <is>
          <t>分数区间</t>
        </is>
      </c>
      <c r="F4" s="51" t="inlineStr">
        <is>
          <t>人数</t>
        </is>
      </c>
      <c r="G4" s="51" t="inlineStr">
        <is>
          <t>占比</t>
        </is>
      </c>
    </row>
    <row r="5" ht="20" customHeight="1">
      <c r="A5" s="52" t="inlineStr">
        <is>
          <t>初赛实际完赛人数</t>
        </is>
      </c>
      <c r="B5" s="53" t="n">
        <v>94</v>
      </c>
      <c r="C5" s="19" t="inlineStr">
        <is>
          <t>人</t>
        </is>
      </c>
      <c r="E5" s="49" t="inlineStr">
        <is>
          <t>90分及以上 (优秀)</t>
        </is>
      </c>
      <c r="F5" s="50" t="n">
        <v>10</v>
      </c>
      <c r="G5" s="54">
        <f>F5/70</f>
        <v/>
      </c>
    </row>
    <row r="6" ht="20" customHeight="1">
      <c r="A6" s="49" t="inlineStr">
        <is>
          <t>初赛缺赛人数</t>
        </is>
      </c>
      <c r="B6" s="50" t="n">
        <v>38</v>
      </c>
      <c r="C6" s="26" t="inlineStr">
        <is>
          <t>人</t>
        </is>
      </c>
      <c r="E6" s="49" t="inlineStr">
        <is>
          <t>85 ~ 89.99分 (良好)</t>
        </is>
      </c>
      <c r="F6" s="50" t="n">
        <v>19</v>
      </c>
      <c r="G6" s="54">
        <f>F6/70</f>
        <v/>
      </c>
    </row>
    <row r="7" ht="20" customHeight="1">
      <c r="A7" s="52" t="inlineStr">
        <is>
          <t>入围决赛总人数</t>
        </is>
      </c>
      <c r="B7" s="53" t="n">
        <v>70</v>
      </c>
      <c r="C7" s="19" t="inlineStr">
        <is>
          <t>人</t>
        </is>
      </c>
      <c r="E7" s="49" t="inlineStr">
        <is>
          <t>80 ~ 84.99分 (中等)</t>
        </is>
      </c>
      <c r="F7" s="50" t="n">
        <v>12</v>
      </c>
      <c r="G7" s="54">
        <f>F7/70</f>
        <v/>
      </c>
    </row>
    <row r="8" ht="20" customHeight="1">
      <c r="A8" s="49" t="inlineStr">
        <is>
          <t>决赛实际完赛人数</t>
        </is>
      </c>
      <c r="B8" s="50" t="n">
        <v>57</v>
      </c>
      <c r="C8" s="26" t="inlineStr">
        <is>
          <t>人</t>
        </is>
      </c>
      <c r="E8" s="49" t="inlineStr">
        <is>
          <t>60 ~ 79.99分 (及格)</t>
        </is>
      </c>
      <c r="F8" s="50" t="n">
        <v>8</v>
      </c>
      <c r="G8" s="54">
        <f>F8/70</f>
        <v/>
      </c>
    </row>
    <row r="9" ht="20" customHeight="1">
      <c r="A9" s="52" t="inlineStr">
        <is>
          <t>决赛缺赛人数</t>
        </is>
      </c>
      <c r="B9" s="53" t="n">
        <v>13</v>
      </c>
      <c r="C9" s="19" t="inlineStr">
        <is>
          <t>人</t>
        </is>
      </c>
      <c r="E9" s="49" t="inlineStr">
        <is>
          <t>60分以下 (实考未及格)</t>
        </is>
      </c>
      <c r="F9" s="50" t="n">
        <v>8</v>
      </c>
      <c r="G9" s="54">
        <f>F9/70</f>
        <v/>
      </c>
    </row>
    <row r="10" ht="20" customHeight="1">
      <c r="A10" s="49" t="inlineStr">
        <is>
          <t>入围选手男女性别比</t>
        </is>
      </c>
      <c r="B10" s="26" t="inlineStr">
        <is>
          <t>58 男 / 12 女</t>
        </is>
      </c>
      <c r="C10" s="26" t="inlineStr">
        <is>
          <t>-</t>
        </is>
      </c>
      <c r="E10" s="49" t="inlineStr">
        <is>
          <t>决赛缺赛 (仅初赛折算)</t>
        </is>
      </c>
      <c r="F10" s="50" t="n">
        <v>13</v>
      </c>
      <c r="G10" s="54">
        <f>F10/70</f>
        <v/>
      </c>
    </row>
    <row r="11" ht="20" customHeight="1">
      <c r="A11" s="55" t="inlineStr">
        <is>
          <t>综合成绩最高分</t>
        </is>
      </c>
      <c r="B11" s="56">
        <f>MAX('综合排名总表(入围70人)'!M4:M73)</f>
        <v/>
      </c>
      <c r="C11" s="20" t="inlineStr">
        <is>
          <t>分</t>
        </is>
      </c>
    </row>
    <row r="12" ht="24" customHeight="1">
      <c r="A12" s="57" t="inlineStr">
        <is>
          <t>综合成绩平均分(入围70人)</t>
        </is>
      </c>
      <c r="B12" s="58">
        <f>ROUND(AVERAGE('综合排名总表(入围70人)'!M4:M73),2)</f>
        <v/>
      </c>
      <c r="C12" s="27" t="inlineStr">
        <is>
          <t>分</t>
        </is>
      </c>
      <c r="E12" s="47" t="inlineStr">
        <is>
          <t>三、综合排名前 10 名选手得分明细</t>
        </is>
      </c>
    </row>
    <row r="13" ht="20" customHeight="1">
      <c r="A13" s="55" t="inlineStr">
        <is>
          <t>综合成绩平均分(决赛实考57人)</t>
        </is>
      </c>
      <c r="B13" s="56">
        <f>ROUND(AVERAGE('综合排名总表(入围70人)'!M4:M60),2)</f>
        <v/>
      </c>
      <c r="C13" s="20" t="inlineStr">
        <is>
          <t>分</t>
        </is>
      </c>
      <c r="E13" s="51" t="inlineStr">
        <is>
          <t>名次+证号后4位</t>
        </is>
      </c>
      <c r="F13" s="51" t="inlineStr">
        <is>
          <t>初赛折算(30%)</t>
        </is>
      </c>
      <c r="G13" s="51" t="inlineStr">
        <is>
          <t>决赛折算(70%)</t>
        </is>
      </c>
      <c r="H13" s="51" t="inlineStr">
        <is>
          <t>综合总成绩</t>
        </is>
      </c>
    </row>
    <row r="14" ht="19" customHeight="1">
      <c r="E14" s="26" t="inlineStr">
        <is>
          <t>第1名(7023)</t>
        </is>
      </c>
      <c r="F14" s="28" t="n">
        <v>30</v>
      </c>
      <c r="G14" s="28" t="n">
        <v>68.55</v>
      </c>
      <c r="H14" s="28" t="n">
        <v>98.55</v>
      </c>
    </row>
    <row r="15" ht="19" customHeight="1">
      <c r="E15" s="26" t="inlineStr">
        <is>
          <t>第2名(7139)</t>
        </is>
      </c>
      <c r="F15" s="28" t="n">
        <v>29.4</v>
      </c>
      <c r="G15" s="28" t="n">
        <v>66.31</v>
      </c>
      <c r="H15" s="28" t="n">
        <v>95.70999999999999</v>
      </c>
    </row>
    <row r="16" ht="19" customHeight="1">
      <c r="E16" s="26" t="inlineStr">
        <is>
          <t>第3名(7031)</t>
        </is>
      </c>
      <c r="F16" s="28" t="n">
        <v>29.4</v>
      </c>
      <c r="G16" s="28" t="n">
        <v>65.98999999999999</v>
      </c>
      <c r="H16" s="28" t="n">
        <v>95.39</v>
      </c>
    </row>
    <row r="17" ht="19" customHeight="1">
      <c r="E17" s="26" t="inlineStr">
        <is>
          <t>第4名(7024)</t>
        </is>
      </c>
      <c r="F17" s="28" t="n">
        <v>26.85</v>
      </c>
      <c r="G17" s="28" t="n">
        <v>66.43000000000001</v>
      </c>
      <c r="H17" s="28" t="n">
        <v>93.28</v>
      </c>
    </row>
    <row r="18" ht="19" customHeight="1">
      <c r="E18" s="26" t="inlineStr">
        <is>
          <t>第5名(7114)</t>
        </is>
      </c>
      <c r="F18" s="28" t="n">
        <v>27.45</v>
      </c>
      <c r="G18" s="28" t="n">
        <v>65.68000000000001</v>
      </c>
      <c r="H18" s="28" t="n">
        <v>93.13</v>
      </c>
    </row>
    <row r="19" ht="19" customHeight="1">
      <c r="E19" s="26" t="inlineStr">
        <is>
          <t>第6名(7002)</t>
        </is>
      </c>
      <c r="F19" s="28" t="n">
        <v>28.65</v>
      </c>
      <c r="G19" s="28" t="n">
        <v>63.96</v>
      </c>
      <c r="H19" s="28" t="n">
        <v>92.61</v>
      </c>
    </row>
    <row r="20" ht="19" customHeight="1">
      <c r="E20" s="26" t="inlineStr">
        <is>
          <t>第7名(7044)</t>
        </is>
      </c>
      <c r="F20" s="28" t="n">
        <v>25.35</v>
      </c>
      <c r="G20" s="28" t="n">
        <v>66.52</v>
      </c>
      <c r="H20" s="28" t="n">
        <v>91.87</v>
      </c>
    </row>
    <row r="21" ht="19" customHeight="1">
      <c r="E21" s="26" t="inlineStr">
        <is>
          <t>第8名(7156)</t>
        </is>
      </c>
      <c r="F21" s="28" t="n">
        <v>26.85</v>
      </c>
      <c r="G21" s="28" t="n">
        <v>64.31</v>
      </c>
      <c r="H21" s="28" t="n">
        <v>91.16</v>
      </c>
    </row>
    <row r="22" ht="19" customHeight="1">
      <c r="E22" s="26" t="inlineStr">
        <is>
          <t>第9名(7029)</t>
        </is>
      </c>
      <c r="F22" s="28" t="n">
        <v>26.25</v>
      </c>
      <c r="G22" s="28" t="n">
        <v>64.89</v>
      </c>
      <c r="H22" s="28" t="n">
        <v>91.14</v>
      </c>
    </row>
    <row r="23" ht="19" customHeight="1">
      <c r="E23" s="26" t="inlineStr">
        <is>
          <t>第10名(7008)</t>
        </is>
      </c>
      <c r="F23" s="28" t="n">
        <v>24</v>
      </c>
      <c r="G23" s="28" t="n">
        <v>66.52</v>
      </c>
      <c r="H23" s="28" t="n">
        <v>90.52</v>
      </c>
    </row>
  </sheetData>
  <mergeCells count="4">
    <mergeCell ref="A1:I1"/>
    <mergeCell ref="E12:H12"/>
    <mergeCell ref="A3:C3"/>
    <mergeCell ref="E3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2" customWidth="1" min="4" max="4"/>
    <col width="10" customWidth="1" min="5" max="5"/>
    <col width="14" customWidth="1" min="6" max="6"/>
    <col width="10" customWidth="1" min="7" max="7"/>
    <col width="4" customWidth="1" min="8" max="8"/>
    <col width="10" customWidth="1" min="9" max="9"/>
    <col width="16" customWidth="1" min="10" max="10"/>
    <col width="8" customWidth="1" min="11" max="11"/>
    <col width="12" customWidth="1" min="12" max="12"/>
    <col width="10" customWidth="1" min="13" max="13"/>
  </cols>
  <sheetData>
    <row r="1" ht="28" customHeight="1">
      <c r="A1" s="1" t="inlineStr">
        <is>
          <t>初赛成绩公示原表 (第1~6页，共132人)</t>
        </is>
      </c>
      <c r="I1" s="1" t="inlineStr">
        <is>
          <t>决赛成绩公示原表 (第7~9页，共70人)</t>
        </is>
      </c>
    </row>
    <row r="2" ht="24" customHeight="1">
      <c r="A2" s="3" t="inlineStr">
        <is>
          <t>初赛序号</t>
        </is>
      </c>
      <c r="B2" s="3" t="inlineStr">
        <is>
          <t>参赛证号</t>
        </is>
      </c>
      <c r="C2" s="3" t="inlineStr">
        <is>
          <t>性别</t>
        </is>
      </c>
      <c r="D2" s="3" t="inlineStr">
        <is>
          <t>初赛成绩</t>
        </is>
      </c>
      <c r="E2" s="3" t="inlineStr">
        <is>
          <t>初赛排名</t>
        </is>
      </c>
      <c r="F2" s="3" t="inlineStr">
        <is>
          <t>是否入围决赛</t>
        </is>
      </c>
      <c r="G2" s="3" t="inlineStr">
        <is>
          <t>备注</t>
        </is>
      </c>
      <c r="I2" s="59" t="inlineStr">
        <is>
          <t>决赛序号</t>
        </is>
      </c>
      <c r="J2" s="59" t="inlineStr">
        <is>
          <t>参赛证号</t>
        </is>
      </c>
      <c r="K2" s="59" t="inlineStr">
        <is>
          <t>性别</t>
        </is>
      </c>
      <c r="L2" s="59" t="inlineStr">
        <is>
          <t>决赛成绩</t>
        </is>
      </c>
      <c r="M2" s="59" t="inlineStr">
        <is>
          <t>备注</t>
        </is>
      </c>
    </row>
    <row r="3" ht="19" customHeight="1">
      <c r="A3" s="26" t="n">
        <v>1</v>
      </c>
      <c r="B3" s="26" t="inlineStr">
        <is>
          <t>262100007023</t>
        </is>
      </c>
      <c r="C3" s="26" t="inlineStr">
        <is>
          <t>男</t>
        </is>
      </c>
      <c r="D3" s="28" t="n">
        <v>100</v>
      </c>
      <c r="E3" s="26" t="n">
        <v>1</v>
      </c>
      <c r="F3" s="26" t="inlineStr">
        <is>
          <t>是</t>
        </is>
      </c>
      <c r="G3" s="26" t="inlineStr"/>
      <c r="I3" s="26" t="n">
        <v>1</v>
      </c>
      <c r="J3" s="26" t="inlineStr">
        <is>
          <t>262100007002</t>
        </is>
      </c>
      <c r="K3" s="26" t="inlineStr">
        <is>
          <t>男</t>
        </is>
      </c>
      <c r="L3" s="28" t="n">
        <v>91.37</v>
      </c>
      <c r="M3" s="26" t="inlineStr"/>
    </row>
    <row r="4" ht="19" customHeight="1">
      <c r="A4" s="26" t="n">
        <v>2</v>
      </c>
      <c r="B4" s="26" t="inlineStr">
        <is>
          <t>262100007139</t>
        </is>
      </c>
      <c r="C4" s="26" t="inlineStr">
        <is>
          <t>女</t>
        </is>
      </c>
      <c r="D4" s="28" t="n">
        <v>98</v>
      </c>
      <c r="E4" s="26" t="n">
        <v>2</v>
      </c>
      <c r="F4" s="26" t="inlineStr">
        <is>
          <t>是</t>
        </is>
      </c>
      <c r="G4" s="26" t="inlineStr"/>
      <c r="I4" s="26" t="n">
        <v>2</v>
      </c>
      <c r="J4" s="26" t="inlineStr">
        <is>
          <t>262100007003</t>
        </is>
      </c>
      <c r="K4" s="26" t="inlineStr">
        <is>
          <t>男</t>
        </is>
      </c>
      <c r="L4" s="28" t="n">
        <v>80.37</v>
      </c>
      <c r="M4" s="26" t="inlineStr"/>
    </row>
    <row r="5" ht="19" customHeight="1">
      <c r="A5" s="26" t="n">
        <v>3</v>
      </c>
      <c r="B5" s="26" t="inlineStr">
        <is>
          <t>262100007031</t>
        </is>
      </c>
      <c r="C5" s="26" t="inlineStr">
        <is>
          <t>男</t>
        </is>
      </c>
      <c r="D5" s="28" t="n">
        <v>98</v>
      </c>
      <c r="E5" s="26" t="n">
        <v>2</v>
      </c>
      <c r="F5" s="26" t="inlineStr">
        <is>
          <t>是</t>
        </is>
      </c>
      <c r="G5" s="26" t="inlineStr"/>
      <c r="I5" s="26" t="n">
        <v>3</v>
      </c>
      <c r="J5" s="26" t="inlineStr">
        <is>
          <t>262100007005</t>
        </is>
      </c>
      <c r="K5" s="26" t="inlineStr">
        <is>
          <t>男</t>
        </is>
      </c>
      <c r="L5" s="28" t="n">
        <v>87.5</v>
      </c>
      <c r="M5" s="26" t="inlineStr"/>
    </row>
    <row r="6" ht="19" customHeight="1">
      <c r="A6" s="26" t="n">
        <v>4</v>
      </c>
      <c r="B6" s="26" t="inlineStr">
        <is>
          <t>262100007002</t>
        </is>
      </c>
      <c r="C6" s="26" t="inlineStr">
        <is>
          <t>男</t>
        </is>
      </c>
      <c r="D6" s="28" t="n">
        <v>95.5</v>
      </c>
      <c r="E6" s="26" t="n">
        <v>4</v>
      </c>
      <c r="F6" s="26" t="inlineStr">
        <is>
          <t>是</t>
        </is>
      </c>
      <c r="G6" s="26" t="inlineStr"/>
      <c r="I6" s="26" t="n">
        <v>4</v>
      </c>
      <c r="J6" s="26" t="inlineStr">
        <is>
          <t>262100007007</t>
        </is>
      </c>
      <c r="K6" s="26" t="inlineStr">
        <is>
          <t>男</t>
        </is>
      </c>
      <c r="L6" s="28" t="n">
        <v>21.5</v>
      </c>
      <c r="M6" s="26" t="inlineStr"/>
    </row>
    <row r="7" ht="19" customHeight="1">
      <c r="A7" s="26" t="n">
        <v>5</v>
      </c>
      <c r="B7" s="26" t="inlineStr">
        <is>
          <t>262100007157</t>
        </is>
      </c>
      <c r="C7" s="26" t="inlineStr">
        <is>
          <t>男</t>
        </is>
      </c>
      <c r="D7" s="28" t="n">
        <v>92.5</v>
      </c>
      <c r="E7" s="26" t="n">
        <v>5</v>
      </c>
      <c r="F7" s="26" t="inlineStr">
        <is>
          <t>是</t>
        </is>
      </c>
      <c r="G7" s="26" t="inlineStr"/>
      <c r="I7" s="26" t="n">
        <v>5</v>
      </c>
      <c r="J7" s="26" t="inlineStr">
        <is>
          <t>262100007008</t>
        </is>
      </c>
      <c r="K7" s="26" t="inlineStr">
        <is>
          <t>男</t>
        </is>
      </c>
      <c r="L7" s="28" t="n">
        <v>95.03</v>
      </c>
      <c r="M7" s="26" t="inlineStr"/>
    </row>
    <row r="8" ht="19" customHeight="1">
      <c r="A8" s="26" t="n">
        <v>6</v>
      </c>
      <c r="B8" s="26" t="inlineStr">
        <is>
          <t>262100007114</t>
        </is>
      </c>
      <c r="C8" s="26" t="inlineStr">
        <is>
          <t>男</t>
        </is>
      </c>
      <c r="D8" s="28" t="n">
        <v>91.5</v>
      </c>
      <c r="E8" s="26" t="n">
        <v>6</v>
      </c>
      <c r="F8" s="26" t="inlineStr">
        <is>
          <t>是</t>
        </is>
      </c>
      <c r="G8" s="26" t="inlineStr"/>
      <c r="I8" s="26" t="n">
        <v>6</v>
      </c>
      <c r="J8" s="26" t="inlineStr">
        <is>
          <t>262100007009</t>
        </is>
      </c>
      <c r="K8" s="26" t="inlineStr">
        <is>
          <t>男</t>
        </is>
      </c>
      <c r="L8" s="28" t="n">
        <v>94.67</v>
      </c>
      <c r="M8" s="26" t="inlineStr"/>
    </row>
    <row r="9" ht="19" customHeight="1">
      <c r="A9" s="26" t="n">
        <v>7</v>
      </c>
      <c r="B9" s="26" t="inlineStr">
        <is>
          <t>262100007063</t>
        </is>
      </c>
      <c r="C9" s="26" t="inlineStr">
        <is>
          <t>男</t>
        </is>
      </c>
      <c r="D9" s="28" t="n">
        <v>91</v>
      </c>
      <c r="E9" s="26" t="n">
        <v>7</v>
      </c>
      <c r="F9" s="26" t="inlineStr">
        <is>
          <t>是</t>
        </is>
      </c>
      <c r="G9" s="26" t="inlineStr"/>
      <c r="I9" s="26" t="n">
        <v>7</v>
      </c>
      <c r="J9" s="26" t="inlineStr">
        <is>
          <t>262100007014</t>
        </is>
      </c>
      <c r="K9" s="26" t="inlineStr">
        <is>
          <t>男</t>
        </is>
      </c>
      <c r="L9" s="28" t="n">
        <v>0</v>
      </c>
      <c r="M9" s="26" t="inlineStr">
        <is>
          <t>缺赛</t>
        </is>
      </c>
    </row>
    <row r="10" ht="19" customHeight="1">
      <c r="A10" s="26" t="n">
        <v>8</v>
      </c>
      <c r="B10" s="26" t="inlineStr">
        <is>
          <t>262100007024</t>
        </is>
      </c>
      <c r="C10" s="26" t="inlineStr">
        <is>
          <t>男</t>
        </is>
      </c>
      <c r="D10" s="28" t="n">
        <v>89.5</v>
      </c>
      <c r="E10" s="26" t="n">
        <v>8</v>
      </c>
      <c r="F10" s="26" t="inlineStr">
        <is>
          <t>是</t>
        </is>
      </c>
      <c r="G10" s="26" t="inlineStr"/>
      <c r="I10" s="26" t="n">
        <v>8</v>
      </c>
      <c r="J10" s="26" t="inlineStr">
        <is>
          <t>262100007023</t>
        </is>
      </c>
      <c r="K10" s="26" t="inlineStr">
        <is>
          <t>男</t>
        </is>
      </c>
      <c r="L10" s="28" t="n">
        <v>97.93000000000001</v>
      </c>
      <c r="M10" s="26" t="inlineStr"/>
    </row>
    <row r="11" ht="19" customHeight="1">
      <c r="A11" s="26" t="n">
        <v>9</v>
      </c>
      <c r="B11" s="26" t="inlineStr">
        <is>
          <t>262100007156</t>
        </is>
      </c>
      <c r="C11" s="26" t="inlineStr">
        <is>
          <t>男</t>
        </is>
      </c>
      <c r="D11" s="28" t="n">
        <v>89.5</v>
      </c>
      <c r="E11" s="26" t="n">
        <v>8</v>
      </c>
      <c r="F11" s="26" t="inlineStr">
        <is>
          <t>是</t>
        </is>
      </c>
      <c r="G11" s="26" t="inlineStr"/>
      <c r="I11" s="26" t="n">
        <v>9</v>
      </c>
      <c r="J11" s="26" t="inlineStr">
        <is>
          <t>262100007024</t>
        </is>
      </c>
      <c r="K11" s="26" t="inlineStr">
        <is>
          <t>男</t>
        </is>
      </c>
      <c r="L11" s="28" t="n">
        <v>94.90000000000001</v>
      </c>
      <c r="M11" s="26" t="inlineStr"/>
    </row>
    <row r="12" ht="19" customHeight="1">
      <c r="A12" s="26" t="n">
        <v>10</v>
      </c>
      <c r="B12" s="26" t="inlineStr">
        <is>
          <t>262100007098</t>
        </is>
      </c>
      <c r="C12" s="26" t="inlineStr">
        <is>
          <t>男</t>
        </is>
      </c>
      <c r="D12" s="28" t="n">
        <v>88</v>
      </c>
      <c r="E12" s="26" t="n">
        <v>10</v>
      </c>
      <c r="F12" s="26" t="inlineStr">
        <is>
          <t>是</t>
        </is>
      </c>
      <c r="G12" s="26" t="inlineStr"/>
      <c r="I12" s="26" t="n">
        <v>10</v>
      </c>
      <c r="J12" s="26" t="inlineStr">
        <is>
          <t>262100007026</t>
        </is>
      </c>
      <c r="K12" s="26" t="inlineStr">
        <is>
          <t>男</t>
        </is>
      </c>
      <c r="L12" s="28" t="n">
        <v>93.73</v>
      </c>
      <c r="M12" s="26" t="inlineStr"/>
    </row>
    <row r="13" ht="19" customHeight="1">
      <c r="A13" s="26" t="n">
        <v>11</v>
      </c>
      <c r="B13" s="26" t="inlineStr">
        <is>
          <t>262100007029</t>
        </is>
      </c>
      <c r="C13" s="26" t="inlineStr">
        <is>
          <t>男</t>
        </is>
      </c>
      <c r="D13" s="28" t="n">
        <v>87.5</v>
      </c>
      <c r="E13" s="26" t="n">
        <v>11</v>
      </c>
      <c r="F13" s="26" t="inlineStr">
        <is>
          <t>是</t>
        </is>
      </c>
      <c r="G13" s="26" t="inlineStr"/>
      <c r="I13" s="26" t="n">
        <v>11</v>
      </c>
      <c r="J13" s="26" t="inlineStr">
        <is>
          <t>262100007029</t>
        </is>
      </c>
      <c r="K13" s="26" t="inlineStr">
        <is>
          <t>男</t>
        </is>
      </c>
      <c r="L13" s="28" t="n">
        <v>92.7</v>
      </c>
      <c r="M13" s="26" t="inlineStr"/>
    </row>
    <row r="14" ht="19" customHeight="1">
      <c r="A14" s="26" t="n">
        <v>12</v>
      </c>
      <c r="B14" s="26" t="inlineStr">
        <is>
          <t>262100007056</t>
        </is>
      </c>
      <c r="C14" s="26" t="inlineStr">
        <is>
          <t>男</t>
        </is>
      </c>
      <c r="D14" s="28" t="n">
        <v>87.5</v>
      </c>
      <c r="E14" s="26" t="n">
        <v>11</v>
      </c>
      <c r="F14" s="26" t="inlineStr">
        <is>
          <t>是</t>
        </is>
      </c>
      <c r="G14" s="26" t="inlineStr"/>
      <c r="I14" s="26" t="n">
        <v>12</v>
      </c>
      <c r="J14" s="26" t="inlineStr">
        <is>
          <t>262100007031</t>
        </is>
      </c>
      <c r="K14" s="26" t="inlineStr">
        <is>
          <t>男</t>
        </is>
      </c>
      <c r="L14" s="28" t="n">
        <v>94.27</v>
      </c>
      <c r="M14" s="26" t="inlineStr"/>
    </row>
    <row r="15" ht="19" customHeight="1">
      <c r="A15" s="26" t="n">
        <v>13</v>
      </c>
      <c r="B15" s="26" t="inlineStr">
        <is>
          <t>262100007005</t>
        </is>
      </c>
      <c r="C15" s="26" t="inlineStr">
        <is>
          <t>男</t>
        </is>
      </c>
      <c r="D15" s="28" t="n">
        <v>87</v>
      </c>
      <c r="E15" s="26" t="n">
        <v>13</v>
      </c>
      <c r="F15" s="26" t="inlineStr">
        <is>
          <t>是</t>
        </is>
      </c>
      <c r="G15" s="26" t="inlineStr"/>
      <c r="I15" s="26" t="n">
        <v>13</v>
      </c>
      <c r="J15" s="26" t="inlineStr">
        <is>
          <t>262100007034</t>
        </is>
      </c>
      <c r="K15" s="26" t="inlineStr">
        <is>
          <t>男</t>
        </is>
      </c>
      <c r="L15" s="28" t="n">
        <v>22.53</v>
      </c>
      <c r="M15" s="26" t="inlineStr"/>
    </row>
    <row r="16" ht="19" customHeight="1">
      <c r="A16" s="26" t="n">
        <v>14</v>
      </c>
      <c r="B16" s="26" t="inlineStr">
        <is>
          <t>262100007154</t>
        </is>
      </c>
      <c r="C16" s="26" t="inlineStr">
        <is>
          <t>男</t>
        </is>
      </c>
      <c r="D16" s="28" t="n">
        <v>86.5</v>
      </c>
      <c r="E16" s="26" t="n">
        <v>14</v>
      </c>
      <c r="F16" s="26" t="inlineStr">
        <is>
          <t>是</t>
        </is>
      </c>
      <c r="G16" s="26" t="inlineStr"/>
      <c r="I16" s="26" t="n">
        <v>14</v>
      </c>
      <c r="J16" s="26" t="inlineStr">
        <is>
          <t>262100007037</t>
        </is>
      </c>
      <c r="K16" s="26" t="inlineStr">
        <is>
          <t>男</t>
        </is>
      </c>
      <c r="L16" s="28" t="n">
        <v>88.56999999999999</v>
      </c>
      <c r="M16" s="26" t="inlineStr"/>
    </row>
    <row r="17" ht="19" customHeight="1">
      <c r="A17" s="26" t="n">
        <v>15</v>
      </c>
      <c r="B17" s="26" t="inlineStr">
        <is>
          <t>262100007151</t>
        </is>
      </c>
      <c r="C17" s="26" t="inlineStr">
        <is>
          <t>男</t>
        </is>
      </c>
      <c r="D17" s="28" t="n">
        <v>85.5</v>
      </c>
      <c r="E17" s="26" t="n">
        <v>15</v>
      </c>
      <c r="F17" s="26" t="inlineStr">
        <is>
          <t>是</t>
        </is>
      </c>
      <c r="G17" s="26" t="inlineStr"/>
      <c r="I17" s="26" t="n">
        <v>15</v>
      </c>
      <c r="J17" s="26" t="inlineStr">
        <is>
          <t>262100007038</t>
        </is>
      </c>
      <c r="K17" s="26" t="inlineStr">
        <is>
          <t>男</t>
        </is>
      </c>
      <c r="L17" s="28" t="n">
        <v>91.87</v>
      </c>
      <c r="M17" s="26" t="inlineStr"/>
    </row>
    <row r="18" ht="19" customHeight="1">
      <c r="A18" s="26" t="n">
        <v>16</v>
      </c>
      <c r="B18" s="26" t="inlineStr">
        <is>
          <t>262100007044</t>
        </is>
      </c>
      <c r="C18" s="26" t="inlineStr">
        <is>
          <t>男</t>
        </is>
      </c>
      <c r="D18" s="28" t="n">
        <v>84.5</v>
      </c>
      <c r="E18" s="26" t="n">
        <v>16</v>
      </c>
      <c r="F18" s="26" t="inlineStr">
        <is>
          <t>是</t>
        </is>
      </c>
      <c r="G18" s="26" t="inlineStr"/>
      <c r="I18" s="26" t="n">
        <v>16</v>
      </c>
      <c r="J18" s="26" t="inlineStr">
        <is>
          <t>262100007040</t>
        </is>
      </c>
      <c r="K18" s="26" t="inlineStr">
        <is>
          <t>女</t>
        </is>
      </c>
      <c r="L18" s="28" t="n">
        <v>0</v>
      </c>
      <c r="M18" s="26" t="inlineStr">
        <is>
          <t>缺赛</t>
        </is>
      </c>
    </row>
    <row r="19" ht="19" customHeight="1">
      <c r="A19" s="26" t="n">
        <v>17</v>
      </c>
      <c r="B19" s="26" t="inlineStr">
        <is>
          <t>262100007084</t>
        </is>
      </c>
      <c r="C19" s="26" t="inlineStr">
        <is>
          <t>男</t>
        </is>
      </c>
      <c r="D19" s="28" t="n">
        <v>84.5</v>
      </c>
      <c r="E19" s="26" t="n">
        <v>16</v>
      </c>
      <c r="F19" s="26" t="inlineStr">
        <is>
          <t>是</t>
        </is>
      </c>
      <c r="G19" s="26" t="inlineStr"/>
      <c r="I19" s="26" t="n">
        <v>17</v>
      </c>
      <c r="J19" s="26" t="inlineStr">
        <is>
          <t>262100007044</t>
        </is>
      </c>
      <c r="K19" s="26" t="inlineStr">
        <is>
          <t>男</t>
        </is>
      </c>
      <c r="L19" s="28" t="n">
        <v>95.03</v>
      </c>
      <c r="M19" s="26" t="inlineStr"/>
    </row>
    <row r="20" ht="19" customHeight="1">
      <c r="A20" s="26" t="n">
        <v>18</v>
      </c>
      <c r="B20" s="26" t="inlineStr">
        <is>
          <t>262100007034</t>
        </is>
      </c>
      <c r="C20" s="26" t="inlineStr">
        <is>
          <t>男</t>
        </is>
      </c>
      <c r="D20" s="28" t="n">
        <v>84.5</v>
      </c>
      <c r="E20" s="26" t="n">
        <v>16</v>
      </c>
      <c r="F20" s="26" t="inlineStr">
        <is>
          <t>是</t>
        </is>
      </c>
      <c r="G20" s="26" t="inlineStr"/>
      <c r="I20" s="26" t="n">
        <v>18</v>
      </c>
      <c r="J20" s="26" t="inlineStr">
        <is>
          <t>262100007049</t>
        </is>
      </c>
      <c r="K20" s="26" t="inlineStr">
        <is>
          <t>女</t>
        </is>
      </c>
      <c r="L20" s="28" t="n">
        <v>0</v>
      </c>
      <c r="M20" s="26" t="inlineStr">
        <is>
          <t>缺赛</t>
        </is>
      </c>
    </row>
    <row r="21" ht="19" customHeight="1">
      <c r="A21" s="26" t="n">
        <v>19</v>
      </c>
      <c r="B21" s="26" t="inlineStr">
        <is>
          <t>262100007038</t>
        </is>
      </c>
      <c r="C21" s="26" t="inlineStr">
        <is>
          <t>男</t>
        </is>
      </c>
      <c r="D21" s="28" t="n">
        <v>84</v>
      </c>
      <c r="E21" s="26" t="n">
        <v>19</v>
      </c>
      <c r="F21" s="26" t="inlineStr">
        <is>
          <t>是</t>
        </is>
      </c>
      <c r="G21" s="26" t="inlineStr"/>
      <c r="I21" s="26" t="n">
        <v>19</v>
      </c>
      <c r="J21" s="26" t="inlineStr">
        <is>
          <t>262100007051</t>
        </is>
      </c>
      <c r="K21" s="26" t="inlineStr">
        <is>
          <t>男</t>
        </is>
      </c>
      <c r="L21" s="28" t="n">
        <v>82.03</v>
      </c>
      <c r="M21" s="26" t="inlineStr"/>
    </row>
    <row r="22" ht="19" customHeight="1">
      <c r="A22" s="26" t="n">
        <v>20</v>
      </c>
      <c r="B22" s="26" t="inlineStr">
        <is>
          <t>262100007159</t>
        </is>
      </c>
      <c r="C22" s="26" t="inlineStr">
        <is>
          <t>男</t>
        </is>
      </c>
      <c r="D22" s="28" t="n">
        <v>83</v>
      </c>
      <c r="E22" s="26" t="n">
        <v>20</v>
      </c>
      <c r="F22" s="26" t="inlineStr">
        <is>
          <t>是</t>
        </is>
      </c>
      <c r="G22" s="26" t="inlineStr"/>
      <c r="I22" s="26" t="n">
        <v>20</v>
      </c>
      <c r="J22" s="26" t="inlineStr">
        <is>
          <t>262100007056</t>
        </is>
      </c>
      <c r="K22" s="26" t="inlineStr">
        <is>
          <t>男</t>
        </is>
      </c>
      <c r="L22" s="28" t="n">
        <v>81.3</v>
      </c>
      <c r="M22" s="26" t="inlineStr"/>
    </row>
    <row r="23" ht="19" customHeight="1">
      <c r="A23" s="26" t="n">
        <v>21</v>
      </c>
      <c r="B23" s="26" t="inlineStr">
        <is>
          <t>262100007110</t>
        </is>
      </c>
      <c r="C23" s="26" t="inlineStr">
        <is>
          <t>女</t>
        </is>
      </c>
      <c r="D23" s="28" t="n">
        <v>83</v>
      </c>
      <c r="E23" s="26" t="n">
        <v>20</v>
      </c>
      <c r="F23" s="26" t="inlineStr">
        <is>
          <t>是</t>
        </is>
      </c>
      <c r="G23" s="26" t="inlineStr"/>
      <c r="I23" s="26" t="n">
        <v>21</v>
      </c>
      <c r="J23" s="26" t="inlineStr">
        <is>
          <t>262100007063</t>
        </is>
      </c>
      <c r="K23" s="26" t="inlineStr">
        <is>
          <t>男</t>
        </is>
      </c>
      <c r="L23" s="28" t="n">
        <v>61.7</v>
      </c>
      <c r="M23" s="26" t="inlineStr"/>
    </row>
    <row r="24" ht="19" customHeight="1">
      <c r="A24" s="26" t="n">
        <v>22</v>
      </c>
      <c r="B24" s="26" t="inlineStr">
        <is>
          <t>262100007121</t>
        </is>
      </c>
      <c r="C24" s="26" t="inlineStr">
        <is>
          <t>男</t>
        </is>
      </c>
      <c r="D24" s="28" t="n">
        <v>82</v>
      </c>
      <c r="E24" s="26" t="n">
        <v>22</v>
      </c>
      <c r="F24" s="26" t="inlineStr">
        <is>
          <t>是</t>
        </is>
      </c>
      <c r="G24" s="26" t="inlineStr"/>
      <c r="I24" s="26" t="n">
        <v>22</v>
      </c>
      <c r="J24" s="26" t="inlineStr">
        <is>
          <t>262100007064</t>
        </is>
      </c>
      <c r="K24" s="26" t="inlineStr">
        <is>
          <t>男</t>
        </is>
      </c>
      <c r="L24" s="28" t="n">
        <v>75.56999999999999</v>
      </c>
      <c r="M24" s="26" t="inlineStr"/>
    </row>
    <row r="25" ht="19" customHeight="1">
      <c r="A25" s="26" t="n">
        <v>23</v>
      </c>
      <c r="B25" s="26" t="inlineStr">
        <is>
          <t>262100007093</t>
        </is>
      </c>
      <c r="C25" s="26" t="inlineStr">
        <is>
          <t>男</t>
        </is>
      </c>
      <c r="D25" s="28" t="n">
        <v>82</v>
      </c>
      <c r="E25" s="26" t="n">
        <v>22</v>
      </c>
      <c r="F25" s="26" t="inlineStr">
        <is>
          <t>是</t>
        </is>
      </c>
      <c r="G25" s="26" t="inlineStr"/>
      <c r="I25" s="26" t="n">
        <v>23</v>
      </c>
      <c r="J25" s="26" t="inlineStr">
        <is>
          <t>262100007065</t>
        </is>
      </c>
      <c r="K25" s="26" t="inlineStr">
        <is>
          <t>男</t>
        </is>
      </c>
      <c r="L25" s="28" t="n">
        <v>0</v>
      </c>
      <c r="M25" s="26" t="inlineStr">
        <is>
          <t>缺赛</t>
        </is>
      </c>
    </row>
    <row r="26" ht="19" customHeight="1">
      <c r="A26" s="26" t="n">
        <v>24</v>
      </c>
      <c r="B26" s="26" t="inlineStr">
        <is>
          <t>262100007014</t>
        </is>
      </c>
      <c r="C26" s="26" t="inlineStr">
        <is>
          <t>男</t>
        </is>
      </c>
      <c r="D26" s="28" t="n">
        <v>81.5</v>
      </c>
      <c r="E26" s="26" t="n">
        <v>24</v>
      </c>
      <c r="F26" s="26" t="inlineStr">
        <is>
          <t>是</t>
        </is>
      </c>
      <c r="G26" s="26" t="inlineStr"/>
      <c r="I26" s="26" t="n">
        <v>24</v>
      </c>
      <c r="J26" s="26" t="inlineStr">
        <is>
          <t>262100007067</t>
        </is>
      </c>
      <c r="K26" s="26" t="inlineStr">
        <is>
          <t>男</t>
        </is>
      </c>
      <c r="L26" s="28" t="n">
        <v>83.77</v>
      </c>
      <c r="M26" s="26" t="inlineStr"/>
    </row>
    <row r="27" ht="19" customHeight="1">
      <c r="A27" s="26" t="n">
        <v>25</v>
      </c>
      <c r="B27" s="26" t="inlineStr">
        <is>
          <t>262100007087</t>
        </is>
      </c>
      <c r="C27" s="26" t="inlineStr">
        <is>
          <t>男</t>
        </is>
      </c>
      <c r="D27" s="28" t="n">
        <v>81</v>
      </c>
      <c r="E27" s="26" t="n">
        <v>25</v>
      </c>
      <c r="F27" s="26" t="inlineStr">
        <is>
          <t>是</t>
        </is>
      </c>
      <c r="G27" s="26" t="inlineStr"/>
      <c r="I27" s="26" t="n">
        <v>25</v>
      </c>
      <c r="J27" s="26" t="inlineStr">
        <is>
          <t>262100007069</t>
        </is>
      </c>
      <c r="K27" s="26" t="inlineStr">
        <is>
          <t>男</t>
        </is>
      </c>
      <c r="L27" s="28" t="n">
        <v>89.97</v>
      </c>
      <c r="M27" s="26" t="inlineStr"/>
    </row>
    <row r="28" ht="19" customHeight="1">
      <c r="A28" s="26" t="n">
        <v>26</v>
      </c>
      <c r="B28" s="26" t="inlineStr">
        <is>
          <t>262100007037</t>
        </is>
      </c>
      <c r="C28" s="26" t="inlineStr">
        <is>
          <t>男</t>
        </is>
      </c>
      <c r="D28" s="28" t="n">
        <v>81</v>
      </c>
      <c r="E28" s="26" t="n">
        <v>25</v>
      </c>
      <c r="F28" s="26" t="inlineStr">
        <is>
          <t>是</t>
        </is>
      </c>
      <c r="G28" s="26" t="inlineStr"/>
      <c r="I28" s="26" t="n">
        <v>26</v>
      </c>
      <c r="J28" s="26" t="inlineStr">
        <is>
          <t>262100007071</t>
        </is>
      </c>
      <c r="K28" s="26" t="inlineStr">
        <is>
          <t>女</t>
        </is>
      </c>
      <c r="L28" s="28" t="n">
        <v>87.56999999999999</v>
      </c>
      <c r="M28" s="26" t="inlineStr"/>
    </row>
    <row r="29" ht="19" customHeight="1">
      <c r="A29" s="26" t="n">
        <v>27</v>
      </c>
      <c r="B29" s="26" t="inlineStr">
        <is>
          <t>262100007116</t>
        </is>
      </c>
      <c r="C29" s="26" t="inlineStr">
        <is>
          <t>男</t>
        </is>
      </c>
      <c r="D29" s="28" t="n">
        <v>80.5</v>
      </c>
      <c r="E29" s="26" t="n">
        <v>27</v>
      </c>
      <c r="F29" s="26" t="inlineStr">
        <is>
          <t>是</t>
        </is>
      </c>
      <c r="G29" s="26" t="inlineStr"/>
      <c r="I29" s="26" t="n">
        <v>27</v>
      </c>
      <c r="J29" s="26" t="inlineStr">
        <is>
          <t>262100007074</t>
        </is>
      </c>
      <c r="K29" s="26" t="inlineStr">
        <is>
          <t>男</t>
        </is>
      </c>
      <c r="L29" s="28" t="n">
        <v>12.2</v>
      </c>
      <c r="M29" s="26" t="inlineStr"/>
    </row>
    <row r="30" ht="19" customHeight="1">
      <c r="A30" s="26" t="n">
        <v>28</v>
      </c>
      <c r="B30" s="26" t="inlineStr">
        <is>
          <t>262100007090</t>
        </is>
      </c>
      <c r="C30" s="26" t="inlineStr">
        <is>
          <t>男</t>
        </is>
      </c>
      <c r="D30" s="28" t="n">
        <v>80.5</v>
      </c>
      <c r="E30" s="26" t="n">
        <v>27</v>
      </c>
      <c r="F30" s="26" t="inlineStr">
        <is>
          <t>是</t>
        </is>
      </c>
      <c r="G30" s="26" t="inlineStr"/>
      <c r="I30" s="26" t="n">
        <v>28</v>
      </c>
      <c r="J30" s="26" t="inlineStr">
        <is>
          <t>262100007077</t>
        </is>
      </c>
      <c r="K30" s="26" t="inlineStr">
        <is>
          <t>男</t>
        </is>
      </c>
      <c r="L30" s="28" t="n">
        <v>94.23</v>
      </c>
      <c r="M30" s="26" t="inlineStr"/>
    </row>
    <row r="31" ht="19" customHeight="1">
      <c r="A31" s="26" t="n">
        <v>29</v>
      </c>
      <c r="B31" s="26" t="inlineStr">
        <is>
          <t>262100007065</t>
        </is>
      </c>
      <c r="C31" s="26" t="inlineStr">
        <is>
          <t>男</t>
        </is>
      </c>
      <c r="D31" s="28" t="n">
        <v>80</v>
      </c>
      <c r="E31" s="26" t="n">
        <v>29</v>
      </c>
      <c r="F31" s="26" t="inlineStr">
        <is>
          <t>是</t>
        </is>
      </c>
      <c r="G31" s="26" t="inlineStr"/>
      <c r="I31" s="26" t="n">
        <v>29</v>
      </c>
      <c r="J31" s="26" t="inlineStr">
        <is>
          <t>262100007078</t>
        </is>
      </c>
      <c r="K31" s="26" t="inlineStr">
        <is>
          <t>男</t>
        </is>
      </c>
      <c r="L31" s="28" t="n">
        <v>90.43000000000001</v>
      </c>
      <c r="M31" s="26" t="inlineStr"/>
    </row>
    <row r="32" ht="19" customHeight="1">
      <c r="A32" s="26" t="n">
        <v>30</v>
      </c>
      <c r="B32" s="26" t="inlineStr">
        <is>
          <t>262100007008</t>
        </is>
      </c>
      <c r="C32" s="26" t="inlineStr">
        <is>
          <t>男</t>
        </is>
      </c>
      <c r="D32" s="28" t="n">
        <v>80</v>
      </c>
      <c r="E32" s="26" t="n">
        <v>29</v>
      </c>
      <c r="F32" s="26" t="inlineStr">
        <is>
          <t>是</t>
        </is>
      </c>
      <c r="G32" s="26" t="inlineStr"/>
      <c r="I32" s="26" t="n">
        <v>30</v>
      </c>
      <c r="J32" s="26" t="inlineStr">
        <is>
          <t>262100007079</t>
        </is>
      </c>
      <c r="K32" s="26" t="inlineStr">
        <is>
          <t>男</t>
        </is>
      </c>
      <c r="L32" s="28" t="n">
        <v>81.27</v>
      </c>
      <c r="M32" s="26" t="inlineStr"/>
    </row>
    <row r="33" ht="19" customHeight="1">
      <c r="A33" s="26" t="n">
        <v>31</v>
      </c>
      <c r="B33" s="26" t="inlineStr">
        <is>
          <t>262100007152</t>
        </is>
      </c>
      <c r="C33" s="26" t="inlineStr">
        <is>
          <t>女</t>
        </is>
      </c>
      <c r="D33" s="28" t="n">
        <v>79.5</v>
      </c>
      <c r="E33" s="26" t="n">
        <v>31</v>
      </c>
      <c r="F33" s="26" t="inlineStr">
        <is>
          <t>是</t>
        </is>
      </c>
      <c r="G33" s="26" t="inlineStr"/>
      <c r="I33" s="26" t="n">
        <v>31</v>
      </c>
      <c r="J33" s="26" t="inlineStr">
        <is>
          <t>262100007082</t>
        </is>
      </c>
      <c r="K33" s="26" t="inlineStr">
        <is>
          <t>男</t>
        </is>
      </c>
      <c r="L33" s="28" t="n">
        <v>0</v>
      </c>
      <c r="M33" s="26" t="inlineStr">
        <is>
          <t>缺赛</t>
        </is>
      </c>
    </row>
    <row r="34" ht="19" customHeight="1">
      <c r="A34" s="26" t="n">
        <v>32</v>
      </c>
      <c r="B34" s="26" t="inlineStr">
        <is>
          <t>262100007064</t>
        </is>
      </c>
      <c r="C34" s="26" t="inlineStr">
        <is>
          <t>男</t>
        </is>
      </c>
      <c r="D34" s="28" t="n">
        <v>79.5</v>
      </c>
      <c r="E34" s="26" t="n">
        <v>31</v>
      </c>
      <c r="F34" s="26" t="inlineStr">
        <is>
          <t>是</t>
        </is>
      </c>
      <c r="G34" s="26" t="inlineStr"/>
      <c r="I34" s="26" t="n">
        <v>32</v>
      </c>
      <c r="J34" s="26" t="inlineStr">
        <is>
          <t>262100007084</t>
        </is>
      </c>
      <c r="K34" s="26" t="inlineStr">
        <is>
          <t>男</t>
        </is>
      </c>
      <c r="L34" s="28" t="n">
        <v>90.37</v>
      </c>
      <c r="M34" s="26" t="inlineStr"/>
    </row>
    <row r="35" ht="19" customHeight="1">
      <c r="A35" s="26" t="n">
        <v>33</v>
      </c>
      <c r="B35" s="26" t="inlineStr">
        <is>
          <t>262100007026</t>
        </is>
      </c>
      <c r="C35" s="26" t="inlineStr">
        <is>
          <t>男</t>
        </is>
      </c>
      <c r="D35" s="28" t="n">
        <v>79.5</v>
      </c>
      <c r="E35" s="26" t="n">
        <v>31</v>
      </c>
      <c r="F35" s="26" t="inlineStr">
        <is>
          <t>是</t>
        </is>
      </c>
      <c r="G35" s="26" t="inlineStr"/>
      <c r="I35" s="26" t="n">
        <v>33</v>
      </c>
      <c r="J35" s="26" t="inlineStr">
        <is>
          <t>262100007085</t>
        </is>
      </c>
      <c r="K35" s="26" t="inlineStr">
        <is>
          <t>男</t>
        </is>
      </c>
      <c r="L35" s="28" t="n">
        <v>83.97</v>
      </c>
      <c r="M35" s="26" t="inlineStr"/>
    </row>
    <row r="36" ht="19" customHeight="1">
      <c r="A36" s="26" t="n">
        <v>34</v>
      </c>
      <c r="B36" s="26" t="inlineStr">
        <is>
          <t>262100007130</t>
        </is>
      </c>
      <c r="C36" s="26" t="inlineStr">
        <is>
          <t>男</t>
        </is>
      </c>
      <c r="D36" s="28" t="n">
        <v>79</v>
      </c>
      <c r="E36" s="26" t="n">
        <v>34</v>
      </c>
      <c r="F36" s="26" t="inlineStr">
        <is>
          <t>是</t>
        </is>
      </c>
      <c r="G36" s="26" t="inlineStr"/>
      <c r="I36" s="26" t="n">
        <v>34</v>
      </c>
      <c r="J36" s="26" t="inlineStr">
        <is>
          <t>262100007087</t>
        </is>
      </c>
      <c r="K36" s="26" t="inlineStr">
        <is>
          <t>男</t>
        </is>
      </c>
      <c r="L36" s="28" t="n">
        <v>87.63</v>
      </c>
      <c r="M36" s="26" t="inlineStr"/>
    </row>
    <row r="37" ht="19" customHeight="1">
      <c r="A37" s="26" t="n">
        <v>35</v>
      </c>
      <c r="B37" s="26" t="inlineStr">
        <is>
          <t>262100007099</t>
        </is>
      </c>
      <c r="C37" s="26" t="inlineStr">
        <is>
          <t>男</t>
        </is>
      </c>
      <c r="D37" s="28" t="n">
        <v>79</v>
      </c>
      <c r="E37" s="26" t="n">
        <v>34</v>
      </c>
      <c r="F37" s="26" t="inlineStr">
        <is>
          <t>是</t>
        </is>
      </c>
      <c r="G37" s="26" t="inlineStr"/>
      <c r="I37" s="26" t="n">
        <v>35</v>
      </c>
      <c r="J37" s="26" t="inlineStr">
        <is>
          <t>262100007088</t>
        </is>
      </c>
      <c r="K37" s="26" t="inlineStr">
        <is>
          <t>女</t>
        </is>
      </c>
      <c r="L37" s="28" t="n">
        <v>89.37</v>
      </c>
      <c r="M37" s="26" t="inlineStr"/>
    </row>
    <row r="38" ht="19" customHeight="1">
      <c r="A38" s="26" t="n">
        <v>36</v>
      </c>
      <c r="B38" s="26" t="inlineStr">
        <is>
          <t>262100007134</t>
        </is>
      </c>
      <c r="C38" s="26" t="inlineStr">
        <is>
          <t>男</t>
        </is>
      </c>
      <c r="D38" s="28" t="n">
        <v>79</v>
      </c>
      <c r="E38" s="26" t="n">
        <v>34</v>
      </c>
      <c r="F38" s="26" t="inlineStr">
        <is>
          <t>是</t>
        </is>
      </c>
      <c r="G38" s="26" t="inlineStr"/>
      <c r="I38" s="26" t="n">
        <v>36</v>
      </c>
      <c r="J38" s="26" t="inlineStr">
        <is>
          <t>262100007090</t>
        </is>
      </c>
      <c r="K38" s="26" t="inlineStr">
        <is>
          <t>男</t>
        </is>
      </c>
      <c r="L38" s="28" t="n">
        <v>0</v>
      </c>
      <c r="M38" s="26" t="inlineStr">
        <is>
          <t>缺赛</t>
        </is>
      </c>
    </row>
    <row r="39" ht="19" customHeight="1">
      <c r="A39" s="26" t="n">
        <v>37</v>
      </c>
      <c r="B39" s="26" t="inlineStr">
        <is>
          <t>262100007094</t>
        </is>
      </c>
      <c r="C39" s="26" t="inlineStr">
        <is>
          <t>男</t>
        </is>
      </c>
      <c r="D39" s="28" t="n">
        <v>78.5</v>
      </c>
      <c r="E39" s="26" t="n">
        <v>37</v>
      </c>
      <c r="F39" s="26" t="inlineStr">
        <is>
          <t>是</t>
        </is>
      </c>
      <c r="G39" s="26" t="inlineStr"/>
      <c r="I39" s="26" t="n">
        <v>37</v>
      </c>
      <c r="J39" s="26" t="inlineStr">
        <is>
          <t>262100007093</t>
        </is>
      </c>
      <c r="K39" s="26" t="inlineStr">
        <is>
          <t>男</t>
        </is>
      </c>
      <c r="L39" s="28" t="n">
        <v>70.97</v>
      </c>
      <c r="M39" s="26" t="inlineStr"/>
    </row>
    <row r="40" ht="19" customHeight="1">
      <c r="A40" s="26" t="n">
        <v>38</v>
      </c>
      <c r="B40" s="26" t="inlineStr">
        <is>
          <t>262100007009</t>
        </is>
      </c>
      <c r="C40" s="26" t="inlineStr">
        <is>
          <t>男</t>
        </is>
      </c>
      <c r="D40" s="28" t="n">
        <v>78.5</v>
      </c>
      <c r="E40" s="26" t="n">
        <v>37</v>
      </c>
      <c r="F40" s="26" t="inlineStr">
        <is>
          <t>是</t>
        </is>
      </c>
      <c r="G40" s="26" t="inlineStr"/>
      <c r="I40" s="26" t="n">
        <v>38</v>
      </c>
      <c r="J40" s="26" t="inlineStr">
        <is>
          <t>262100007094</t>
        </is>
      </c>
      <c r="K40" s="26" t="inlineStr">
        <is>
          <t>男</t>
        </is>
      </c>
      <c r="L40" s="28" t="n">
        <v>92.90000000000001</v>
      </c>
      <c r="M40" s="26" t="inlineStr"/>
    </row>
    <row r="41" ht="19" customHeight="1">
      <c r="A41" s="26" t="n">
        <v>39</v>
      </c>
      <c r="B41" s="26" t="inlineStr">
        <is>
          <t>262100007051</t>
        </is>
      </c>
      <c r="C41" s="26" t="inlineStr">
        <is>
          <t>男</t>
        </is>
      </c>
      <c r="D41" s="28" t="n">
        <v>78.5</v>
      </c>
      <c r="E41" s="26" t="n">
        <v>37</v>
      </c>
      <c r="F41" s="26" t="inlineStr">
        <is>
          <t>是</t>
        </is>
      </c>
      <c r="G41" s="26" t="inlineStr"/>
      <c r="I41" s="26" t="n">
        <v>39</v>
      </c>
      <c r="J41" s="26" t="inlineStr">
        <is>
          <t>262100007096</t>
        </is>
      </c>
      <c r="K41" s="26" t="inlineStr">
        <is>
          <t>男</t>
        </is>
      </c>
      <c r="L41" s="28" t="n">
        <v>89.43000000000001</v>
      </c>
      <c r="M41" s="26" t="inlineStr"/>
    </row>
    <row r="42" ht="19" customHeight="1">
      <c r="A42" s="26" t="n">
        <v>40</v>
      </c>
      <c r="B42" s="26" t="inlineStr">
        <is>
          <t>262100007085</t>
        </is>
      </c>
      <c r="C42" s="26" t="inlineStr">
        <is>
          <t>男</t>
        </is>
      </c>
      <c r="D42" s="28" t="n">
        <v>78.5</v>
      </c>
      <c r="E42" s="26" t="n">
        <v>37</v>
      </c>
      <c r="F42" s="26" t="inlineStr">
        <is>
          <t>是</t>
        </is>
      </c>
      <c r="G42" s="26" t="inlineStr"/>
      <c r="I42" s="26" t="n">
        <v>40</v>
      </c>
      <c r="J42" s="26" t="inlineStr">
        <is>
          <t>262100007097</t>
        </is>
      </c>
      <c r="K42" s="26" t="inlineStr">
        <is>
          <t>男</t>
        </is>
      </c>
      <c r="L42" s="28" t="n">
        <v>0</v>
      </c>
      <c r="M42" s="26" t="inlineStr">
        <is>
          <t>缺赛</t>
        </is>
      </c>
    </row>
    <row r="43" ht="19" customHeight="1">
      <c r="A43" s="26" t="n">
        <v>41</v>
      </c>
      <c r="B43" s="26" t="inlineStr">
        <is>
          <t>262100007106</t>
        </is>
      </c>
      <c r="C43" s="26" t="inlineStr">
        <is>
          <t>女</t>
        </is>
      </c>
      <c r="D43" s="28" t="n">
        <v>77.5</v>
      </c>
      <c r="E43" s="26" t="n">
        <v>41</v>
      </c>
      <c r="F43" s="26" t="inlineStr">
        <is>
          <t>是</t>
        </is>
      </c>
      <c r="G43" s="26" t="inlineStr"/>
      <c r="I43" s="26" t="n">
        <v>41</v>
      </c>
      <c r="J43" s="26" t="inlineStr">
        <is>
          <t>262100007098</t>
        </is>
      </c>
      <c r="K43" s="26" t="inlineStr">
        <is>
          <t>男</t>
        </is>
      </c>
      <c r="L43" s="28" t="n">
        <v>85.90000000000001</v>
      </c>
      <c r="M43" s="26" t="inlineStr"/>
    </row>
    <row r="44" ht="19" customHeight="1">
      <c r="A44" s="26" t="n">
        <v>42</v>
      </c>
      <c r="B44" s="26" t="inlineStr">
        <is>
          <t>262100007145</t>
        </is>
      </c>
      <c r="C44" s="26" t="inlineStr">
        <is>
          <t>女</t>
        </is>
      </c>
      <c r="D44" s="28" t="n">
        <v>77.5</v>
      </c>
      <c r="E44" s="26" t="n">
        <v>41</v>
      </c>
      <c r="F44" s="26" t="inlineStr">
        <is>
          <t>是</t>
        </is>
      </c>
      <c r="G44" s="26" t="inlineStr"/>
      <c r="I44" s="26" t="n">
        <v>42</v>
      </c>
      <c r="J44" s="26" t="inlineStr">
        <is>
          <t>262100007099</t>
        </is>
      </c>
      <c r="K44" s="26" t="inlineStr">
        <is>
          <t>男</t>
        </is>
      </c>
      <c r="L44" s="28" t="n">
        <v>88.56999999999999</v>
      </c>
      <c r="M44" s="26" t="inlineStr"/>
    </row>
    <row r="45" ht="19" customHeight="1">
      <c r="A45" s="26" t="n">
        <v>43</v>
      </c>
      <c r="B45" s="26" t="inlineStr">
        <is>
          <t>262100007088</t>
        </is>
      </c>
      <c r="C45" s="26" t="inlineStr">
        <is>
          <t>女</t>
        </is>
      </c>
      <c r="D45" s="28" t="n">
        <v>77</v>
      </c>
      <c r="E45" s="26" t="n">
        <v>43</v>
      </c>
      <c r="F45" s="26" t="inlineStr">
        <is>
          <t>是</t>
        </is>
      </c>
      <c r="G45" s="26" t="inlineStr"/>
      <c r="I45" s="26" t="n">
        <v>43</v>
      </c>
      <c r="J45" s="26" t="inlineStr">
        <is>
          <t>262100007106</t>
        </is>
      </c>
      <c r="K45" s="26" t="inlineStr">
        <is>
          <t>女</t>
        </is>
      </c>
      <c r="L45" s="28" t="n">
        <v>43.97</v>
      </c>
      <c r="M45" s="26" t="inlineStr"/>
    </row>
    <row r="46" ht="19" customHeight="1">
      <c r="A46" s="26" t="n">
        <v>44</v>
      </c>
      <c r="B46" s="26" t="inlineStr">
        <is>
          <t>262100007128</t>
        </is>
      </c>
      <c r="C46" s="26" t="inlineStr">
        <is>
          <t>男</t>
        </is>
      </c>
      <c r="D46" s="28" t="n">
        <v>76.5</v>
      </c>
      <c r="E46" s="26" t="n">
        <v>44</v>
      </c>
      <c r="F46" s="26" t="inlineStr">
        <is>
          <t>是</t>
        </is>
      </c>
      <c r="G46" s="26" t="inlineStr"/>
      <c r="I46" s="26" t="n">
        <v>44</v>
      </c>
      <c r="J46" s="26" t="inlineStr">
        <is>
          <t>262100007110</t>
        </is>
      </c>
      <c r="K46" s="26" t="inlineStr">
        <is>
          <t>女</t>
        </is>
      </c>
      <c r="L46" s="28" t="n">
        <v>89.17</v>
      </c>
      <c r="M46" s="26" t="inlineStr"/>
    </row>
    <row r="47" ht="19" customHeight="1">
      <c r="A47" s="26" t="n">
        <v>45</v>
      </c>
      <c r="B47" s="26" t="inlineStr">
        <is>
          <t>262100007007</t>
        </is>
      </c>
      <c r="C47" s="26" t="inlineStr">
        <is>
          <t>男</t>
        </is>
      </c>
      <c r="D47" s="28" t="n">
        <v>76</v>
      </c>
      <c r="E47" s="26" t="n">
        <v>45</v>
      </c>
      <c r="F47" s="26" t="inlineStr">
        <is>
          <t>是</t>
        </is>
      </c>
      <c r="G47" s="26" t="inlineStr"/>
      <c r="I47" s="26" t="n">
        <v>45</v>
      </c>
      <c r="J47" s="26" t="inlineStr">
        <is>
          <t>262100007111</t>
        </is>
      </c>
      <c r="K47" s="26" t="inlineStr">
        <is>
          <t>女</t>
        </is>
      </c>
      <c r="L47" s="28" t="n">
        <v>0</v>
      </c>
      <c r="M47" s="26" t="inlineStr">
        <is>
          <t>缺赛</t>
        </is>
      </c>
    </row>
    <row r="48" ht="19" customHeight="1">
      <c r="A48" s="26" t="n">
        <v>46</v>
      </c>
      <c r="B48" s="26" t="inlineStr">
        <is>
          <t>262100007187</t>
        </is>
      </c>
      <c r="C48" s="26" t="inlineStr">
        <is>
          <t>男</t>
        </is>
      </c>
      <c r="D48" s="28" t="n">
        <v>76</v>
      </c>
      <c r="E48" s="26" t="n">
        <v>45</v>
      </c>
      <c r="F48" s="26" t="inlineStr">
        <is>
          <t>是</t>
        </is>
      </c>
      <c r="G48" s="26" t="inlineStr"/>
      <c r="I48" s="26" t="n">
        <v>46</v>
      </c>
      <c r="J48" s="26" t="inlineStr">
        <is>
          <t>262100007114</t>
        </is>
      </c>
      <c r="K48" s="26" t="inlineStr">
        <is>
          <t>男</t>
        </is>
      </c>
      <c r="L48" s="28" t="n">
        <v>93.83</v>
      </c>
      <c r="M48" s="26" t="inlineStr"/>
    </row>
    <row r="49" ht="19" customHeight="1">
      <c r="A49" s="26" t="n">
        <v>47</v>
      </c>
      <c r="B49" s="26" t="inlineStr">
        <is>
          <t>262100007160</t>
        </is>
      </c>
      <c r="C49" s="26" t="inlineStr">
        <is>
          <t>男</t>
        </is>
      </c>
      <c r="D49" s="28" t="n">
        <v>76</v>
      </c>
      <c r="E49" s="26" t="n">
        <v>45</v>
      </c>
      <c r="F49" s="26" t="inlineStr">
        <is>
          <t>是</t>
        </is>
      </c>
      <c r="G49" s="26" t="inlineStr"/>
      <c r="I49" s="26" t="n">
        <v>47</v>
      </c>
      <c r="J49" s="26" t="inlineStr">
        <is>
          <t>262100007116</t>
        </is>
      </c>
      <c r="K49" s="26" t="inlineStr">
        <is>
          <t>男</t>
        </is>
      </c>
      <c r="L49" s="28" t="n">
        <v>14</v>
      </c>
      <c r="M49" s="26" t="inlineStr"/>
    </row>
    <row r="50" ht="19" customHeight="1">
      <c r="A50" s="26" t="n">
        <v>48</v>
      </c>
      <c r="B50" s="26" t="inlineStr">
        <is>
          <t>262100007040</t>
        </is>
      </c>
      <c r="C50" s="26" t="inlineStr">
        <is>
          <t>女</t>
        </is>
      </c>
      <c r="D50" s="28" t="n">
        <v>75.5</v>
      </c>
      <c r="E50" s="26" t="n">
        <v>48</v>
      </c>
      <c r="F50" s="26" t="inlineStr">
        <is>
          <t>是</t>
        </is>
      </c>
      <c r="G50" s="26" t="inlineStr"/>
      <c r="I50" s="26" t="n">
        <v>48</v>
      </c>
      <c r="J50" s="26" t="inlineStr">
        <is>
          <t>262100007120</t>
        </is>
      </c>
      <c r="K50" s="26" t="inlineStr">
        <is>
          <t>男</t>
        </is>
      </c>
      <c r="L50" s="28" t="n">
        <v>92.3</v>
      </c>
      <c r="M50" s="26" t="inlineStr"/>
    </row>
    <row r="51" ht="19" customHeight="1">
      <c r="A51" s="26" t="n">
        <v>49</v>
      </c>
      <c r="B51" s="26" t="inlineStr">
        <is>
          <t>262100007003</t>
        </is>
      </c>
      <c r="C51" s="26" t="inlineStr">
        <is>
          <t>男</t>
        </is>
      </c>
      <c r="D51" s="28" t="n">
        <v>75</v>
      </c>
      <c r="E51" s="26" t="n">
        <v>49</v>
      </c>
      <c r="F51" s="26" t="inlineStr">
        <is>
          <t>是</t>
        </is>
      </c>
      <c r="G51" s="26" t="inlineStr"/>
      <c r="I51" s="26" t="n">
        <v>49</v>
      </c>
      <c r="J51" s="26" t="inlineStr">
        <is>
          <t>262100007121</t>
        </is>
      </c>
      <c r="K51" s="26" t="inlineStr">
        <is>
          <t>男</t>
        </is>
      </c>
      <c r="L51" s="28" t="n">
        <v>43.23</v>
      </c>
      <c r="M51" s="26" t="inlineStr"/>
    </row>
    <row r="52" ht="19" customHeight="1">
      <c r="A52" s="26" t="n">
        <v>50</v>
      </c>
      <c r="B52" s="26" t="inlineStr">
        <is>
          <t>262100007096</t>
        </is>
      </c>
      <c r="C52" s="26" t="inlineStr">
        <is>
          <t>男</t>
        </is>
      </c>
      <c r="D52" s="28" t="n">
        <v>75</v>
      </c>
      <c r="E52" s="26" t="n">
        <v>49</v>
      </c>
      <c r="F52" s="26" t="inlineStr">
        <is>
          <t>是</t>
        </is>
      </c>
      <c r="G52" s="26" t="inlineStr"/>
      <c r="I52" s="26" t="n">
        <v>50</v>
      </c>
      <c r="J52" s="26" t="inlineStr">
        <is>
          <t>262100007124</t>
        </is>
      </c>
      <c r="K52" s="26" t="inlineStr">
        <is>
          <t>男</t>
        </is>
      </c>
      <c r="L52" s="28" t="n">
        <v>88.27</v>
      </c>
      <c r="M52" s="26" t="inlineStr"/>
    </row>
    <row r="53" ht="19" customHeight="1">
      <c r="A53" s="26" t="n">
        <v>51</v>
      </c>
      <c r="B53" s="26" t="inlineStr">
        <is>
          <t>262100007077</t>
        </is>
      </c>
      <c r="C53" s="26" t="inlineStr">
        <is>
          <t>男</t>
        </is>
      </c>
      <c r="D53" s="28" t="n">
        <v>74.5</v>
      </c>
      <c r="E53" s="26" t="n">
        <v>51</v>
      </c>
      <c r="F53" s="26" t="inlineStr">
        <is>
          <t>是</t>
        </is>
      </c>
      <c r="G53" s="26" t="inlineStr"/>
      <c r="I53" s="26" t="n">
        <v>51</v>
      </c>
      <c r="J53" s="26" t="inlineStr">
        <is>
          <t>262100007127</t>
        </is>
      </c>
      <c r="K53" s="26" t="inlineStr">
        <is>
          <t>男</t>
        </is>
      </c>
      <c r="L53" s="28" t="n">
        <v>0</v>
      </c>
      <c r="M53" s="26" t="inlineStr">
        <is>
          <t>缺赛</t>
        </is>
      </c>
    </row>
    <row r="54" ht="19" customHeight="1">
      <c r="A54" s="26" t="n">
        <v>52</v>
      </c>
      <c r="B54" s="26" t="inlineStr">
        <is>
          <t>262100007078</t>
        </is>
      </c>
      <c r="C54" s="26" t="inlineStr">
        <is>
          <t>男</t>
        </is>
      </c>
      <c r="D54" s="28" t="n">
        <v>74.5</v>
      </c>
      <c r="E54" s="26" t="n">
        <v>51</v>
      </c>
      <c r="F54" s="26" t="inlineStr">
        <is>
          <t>是</t>
        </is>
      </c>
      <c r="G54" s="26" t="inlineStr"/>
      <c r="I54" s="26" t="n">
        <v>52</v>
      </c>
      <c r="J54" s="26" t="inlineStr">
        <is>
          <t>262100007128</t>
        </is>
      </c>
      <c r="K54" s="26" t="inlineStr">
        <is>
          <t>男</t>
        </is>
      </c>
      <c r="L54" s="28" t="n">
        <v>23.93</v>
      </c>
      <c r="M54" s="26" t="inlineStr"/>
    </row>
    <row r="55" ht="19" customHeight="1">
      <c r="A55" s="26" t="n">
        <v>53</v>
      </c>
      <c r="B55" s="26" t="inlineStr">
        <is>
          <t>262100007071</t>
        </is>
      </c>
      <c r="C55" s="26" t="inlineStr">
        <is>
          <t>女</t>
        </is>
      </c>
      <c r="D55" s="28" t="n">
        <v>74</v>
      </c>
      <c r="E55" s="26" t="n">
        <v>53</v>
      </c>
      <c r="F55" s="26" t="inlineStr">
        <is>
          <t>是</t>
        </is>
      </c>
      <c r="G55" s="26" t="inlineStr"/>
      <c r="I55" s="26" t="n">
        <v>53</v>
      </c>
      <c r="J55" s="26" t="inlineStr">
        <is>
          <t>262100007129</t>
        </is>
      </c>
      <c r="K55" s="26" t="inlineStr">
        <is>
          <t>男</t>
        </is>
      </c>
      <c r="L55" s="28" t="n">
        <v>92.63</v>
      </c>
      <c r="M55" s="26" t="inlineStr"/>
    </row>
    <row r="56" ht="19" customHeight="1">
      <c r="A56" s="26" t="n">
        <v>54</v>
      </c>
      <c r="B56" s="26" t="inlineStr">
        <is>
          <t>262100007074</t>
        </is>
      </c>
      <c r="C56" s="26" t="inlineStr">
        <is>
          <t>男</t>
        </is>
      </c>
      <c r="D56" s="28" t="n">
        <v>73</v>
      </c>
      <c r="E56" s="26" t="n">
        <v>54</v>
      </c>
      <c r="F56" s="26" t="inlineStr">
        <is>
          <t>是</t>
        </is>
      </c>
      <c r="G56" s="26" t="inlineStr"/>
      <c r="I56" s="26" t="n">
        <v>54</v>
      </c>
      <c r="J56" s="26" t="inlineStr">
        <is>
          <t>262100007130</t>
        </is>
      </c>
      <c r="K56" s="26" t="inlineStr">
        <is>
          <t>男</t>
        </is>
      </c>
      <c r="L56" s="28" t="n">
        <v>93.63</v>
      </c>
      <c r="M56" s="26" t="inlineStr"/>
    </row>
    <row r="57" ht="19" customHeight="1">
      <c r="A57" s="26" t="n">
        <v>55</v>
      </c>
      <c r="B57" s="26" t="inlineStr">
        <is>
          <t>262100007182</t>
        </is>
      </c>
      <c r="C57" s="26" t="inlineStr">
        <is>
          <t>男</t>
        </is>
      </c>
      <c r="D57" s="28" t="n">
        <v>72.5</v>
      </c>
      <c r="E57" s="26" t="n">
        <v>55</v>
      </c>
      <c r="F57" s="26" t="inlineStr">
        <is>
          <t>是</t>
        </is>
      </c>
      <c r="G57" s="26" t="inlineStr"/>
      <c r="I57" s="26" t="n">
        <v>55</v>
      </c>
      <c r="J57" s="26" t="inlineStr">
        <is>
          <t>262100007134</t>
        </is>
      </c>
      <c r="K57" s="26" t="inlineStr">
        <is>
          <t>男</t>
        </is>
      </c>
      <c r="L57" s="28" t="n">
        <v>87.90000000000001</v>
      </c>
      <c r="M57" s="26" t="inlineStr"/>
    </row>
    <row r="58" ht="19" customHeight="1">
      <c r="A58" s="26" t="n">
        <v>56</v>
      </c>
      <c r="B58" s="26" t="inlineStr">
        <is>
          <t>262100007097</t>
        </is>
      </c>
      <c r="C58" s="26" t="inlineStr">
        <is>
          <t>男</t>
        </is>
      </c>
      <c r="D58" s="28" t="n">
        <v>72</v>
      </c>
      <c r="E58" s="26" t="n">
        <v>56</v>
      </c>
      <c r="F58" s="26" t="inlineStr">
        <is>
          <t>是</t>
        </is>
      </c>
      <c r="G58" s="26" t="inlineStr"/>
      <c r="I58" s="26" t="n">
        <v>56</v>
      </c>
      <c r="J58" s="26" t="inlineStr">
        <is>
          <t>262100007139</t>
        </is>
      </c>
      <c r="K58" s="26" t="inlineStr">
        <is>
          <t>女</t>
        </is>
      </c>
      <c r="L58" s="28" t="n">
        <v>94.73</v>
      </c>
      <c r="M58" s="26" t="inlineStr"/>
    </row>
    <row r="59" ht="19" customHeight="1">
      <c r="A59" s="26" t="n">
        <v>57</v>
      </c>
      <c r="B59" s="26" t="inlineStr">
        <is>
          <t>262100007049</t>
        </is>
      </c>
      <c r="C59" s="26" t="inlineStr">
        <is>
          <t>女</t>
        </is>
      </c>
      <c r="D59" s="28" t="n">
        <v>71.5</v>
      </c>
      <c r="E59" s="26" t="n">
        <v>57</v>
      </c>
      <c r="F59" s="26" t="inlineStr">
        <is>
          <t>是</t>
        </is>
      </c>
      <c r="G59" s="26" t="inlineStr"/>
      <c r="I59" s="26" t="n">
        <v>57</v>
      </c>
      <c r="J59" s="26" t="inlineStr">
        <is>
          <t>262100007145</t>
        </is>
      </c>
      <c r="K59" s="26" t="inlineStr">
        <is>
          <t>女</t>
        </is>
      </c>
      <c r="L59" s="28" t="n">
        <v>32.83</v>
      </c>
      <c r="M59" s="26" t="inlineStr"/>
    </row>
    <row r="60" ht="19" customHeight="1">
      <c r="A60" s="26" t="n">
        <v>58</v>
      </c>
      <c r="B60" s="26" t="inlineStr">
        <is>
          <t>262100007079</t>
        </is>
      </c>
      <c r="C60" s="26" t="inlineStr">
        <is>
          <t>男</t>
        </is>
      </c>
      <c r="D60" s="28" t="n">
        <v>71</v>
      </c>
      <c r="E60" s="26" t="n">
        <v>58</v>
      </c>
      <c r="F60" s="26" t="inlineStr">
        <is>
          <t>是</t>
        </is>
      </c>
      <c r="G60" s="26" t="inlineStr"/>
      <c r="I60" s="26" t="n">
        <v>58</v>
      </c>
      <c r="J60" s="26" t="inlineStr">
        <is>
          <t>262100007147</t>
        </is>
      </c>
      <c r="K60" s="26" t="inlineStr">
        <is>
          <t>男</t>
        </is>
      </c>
      <c r="L60" s="28" t="n">
        <v>70.53</v>
      </c>
      <c r="M60" s="26" t="inlineStr"/>
    </row>
    <row r="61" ht="19" customHeight="1">
      <c r="A61" s="26" t="n">
        <v>59</v>
      </c>
      <c r="B61" s="26" t="inlineStr">
        <is>
          <t>262100007181</t>
        </is>
      </c>
      <c r="C61" s="26" t="inlineStr">
        <is>
          <t>男</t>
        </is>
      </c>
      <c r="D61" s="28" t="n">
        <v>71</v>
      </c>
      <c r="E61" s="26" t="n">
        <v>58</v>
      </c>
      <c r="F61" s="26" t="inlineStr">
        <is>
          <t>是</t>
        </is>
      </c>
      <c r="G61" s="26" t="inlineStr"/>
      <c r="I61" s="26" t="n">
        <v>59</v>
      </c>
      <c r="J61" s="26" t="inlineStr">
        <is>
          <t>262100007151</t>
        </is>
      </c>
      <c r="K61" s="26" t="inlineStr">
        <is>
          <t>男</t>
        </is>
      </c>
      <c r="L61" s="28" t="n">
        <v>83.3</v>
      </c>
      <c r="M61" s="26" t="inlineStr"/>
    </row>
    <row r="62" ht="19" customHeight="1">
      <c r="A62" s="26" t="n">
        <v>60</v>
      </c>
      <c r="B62" s="26" t="inlineStr">
        <is>
          <t>262100007111</t>
        </is>
      </c>
      <c r="C62" s="26" t="inlineStr">
        <is>
          <t>女</t>
        </is>
      </c>
      <c r="D62" s="28" t="n">
        <v>68</v>
      </c>
      <c r="E62" s="26" t="n">
        <v>60</v>
      </c>
      <c r="F62" s="26" t="inlineStr">
        <is>
          <t>是</t>
        </is>
      </c>
      <c r="G62" s="26" t="inlineStr"/>
      <c r="I62" s="26" t="n">
        <v>60</v>
      </c>
      <c r="J62" s="26" t="inlineStr">
        <is>
          <t>262100007152</t>
        </is>
      </c>
      <c r="K62" s="26" t="inlineStr">
        <is>
          <t>女</t>
        </is>
      </c>
      <c r="L62" s="28" t="n">
        <v>69.5</v>
      </c>
      <c r="M62" s="26" t="inlineStr"/>
    </row>
    <row r="63" ht="19" customHeight="1">
      <c r="A63" s="26" t="n">
        <v>61</v>
      </c>
      <c r="B63" s="26" t="inlineStr">
        <is>
          <t>262100007184</t>
        </is>
      </c>
      <c r="C63" s="26" t="inlineStr">
        <is>
          <t>女</t>
        </is>
      </c>
      <c r="D63" s="28" t="n">
        <v>67.5</v>
      </c>
      <c r="E63" s="26" t="n">
        <v>61</v>
      </c>
      <c r="F63" s="26" t="inlineStr">
        <is>
          <t>是</t>
        </is>
      </c>
      <c r="G63" s="26" t="inlineStr"/>
      <c r="I63" s="26" t="n">
        <v>61</v>
      </c>
      <c r="J63" s="26" t="inlineStr">
        <is>
          <t>262100007154</t>
        </is>
      </c>
      <c r="K63" s="26" t="inlineStr">
        <is>
          <t>男</t>
        </is>
      </c>
      <c r="L63" s="28" t="n">
        <v>77.90000000000001</v>
      </c>
      <c r="M63" s="26" t="inlineStr"/>
    </row>
    <row r="64" ht="19" customHeight="1">
      <c r="A64" s="26" t="n">
        <v>62</v>
      </c>
      <c r="B64" s="26" t="inlineStr">
        <is>
          <t>262100007166</t>
        </is>
      </c>
      <c r="C64" s="26" t="inlineStr">
        <is>
          <t>男</t>
        </is>
      </c>
      <c r="D64" s="28" t="n">
        <v>67.5</v>
      </c>
      <c r="E64" s="26" t="n">
        <v>61</v>
      </c>
      <c r="F64" s="26" t="inlineStr">
        <is>
          <t>是</t>
        </is>
      </c>
      <c r="G64" s="26" t="inlineStr"/>
      <c r="I64" s="26" t="n">
        <v>62</v>
      </c>
      <c r="J64" s="26" t="inlineStr">
        <is>
          <t>262100007156</t>
        </is>
      </c>
      <c r="K64" s="26" t="inlineStr">
        <is>
          <t>男</t>
        </is>
      </c>
      <c r="L64" s="28" t="n">
        <v>91.87</v>
      </c>
      <c r="M64" s="26" t="inlineStr"/>
    </row>
    <row r="65" ht="19" customHeight="1">
      <c r="A65" s="26" t="n">
        <v>63</v>
      </c>
      <c r="B65" s="26" t="inlineStr">
        <is>
          <t>262100007129</t>
        </is>
      </c>
      <c r="C65" s="26" t="inlineStr">
        <is>
          <t>男</t>
        </is>
      </c>
      <c r="D65" s="28" t="n">
        <v>67.5</v>
      </c>
      <c r="E65" s="26" t="n">
        <v>61</v>
      </c>
      <c r="F65" s="26" t="inlineStr">
        <is>
          <t>是</t>
        </is>
      </c>
      <c r="G65" s="26" t="inlineStr"/>
      <c r="I65" s="26" t="n">
        <v>63</v>
      </c>
      <c r="J65" s="26" t="inlineStr">
        <is>
          <t>262100007157</t>
        </is>
      </c>
      <c r="K65" s="26" t="inlineStr">
        <is>
          <t>男</t>
        </is>
      </c>
      <c r="L65" s="28" t="n">
        <v>84.63</v>
      </c>
      <c r="M65" s="26" t="inlineStr"/>
    </row>
    <row r="66" ht="19" customHeight="1">
      <c r="A66" s="26" t="n">
        <v>64</v>
      </c>
      <c r="B66" s="26" t="inlineStr">
        <is>
          <t>262100007120</t>
        </is>
      </c>
      <c r="C66" s="26" t="inlineStr">
        <is>
          <t>男</t>
        </is>
      </c>
      <c r="D66" s="28" t="n">
        <v>67</v>
      </c>
      <c r="E66" s="26" t="n">
        <v>64</v>
      </c>
      <c r="F66" s="26" t="inlineStr">
        <is>
          <t>是</t>
        </is>
      </c>
      <c r="G66" s="26" t="inlineStr"/>
      <c r="I66" s="26" t="n">
        <v>64</v>
      </c>
      <c r="J66" s="26" t="inlineStr">
        <is>
          <t>262100007159</t>
        </is>
      </c>
      <c r="K66" s="26" t="inlineStr">
        <is>
          <t>男</t>
        </is>
      </c>
      <c r="L66" s="28" t="n">
        <v>0</v>
      </c>
      <c r="M66" s="26" t="inlineStr">
        <is>
          <t>缺赛</t>
        </is>
      </c>
    </row>
    <row r="67" ht="19" customHeight="1">
      <c r="A67" s="26" t="n">
        <v>65</v>
      </c>
      <c r="B67" s="26" t="inlineStr">
        <is>
          <t>262100007067</t>
        </is>
      </c>
      <c r="C67" s="26" t="inlineStr">
        <is>
          <t>男</t>
        </is>
      </c>
      <c r="D67" s="28" t="n">
        <v>66</v>
      </c>
      <c r="E67" s="26" t="n">
        <v>65</v>
      </c>
      <c r="F67" s="26" t="inlineStr">
        <is>
          <t>是</t>
        </is>
      </c>
      <c r="G67" s="26" t="inlineStr"/>
      <c r="I67" s="26" t="n">
        <v>65</v>
      </c>
      <c r="J67" s="26" t="inlineStr">
        <is>
          <t>262100007160</t>
        </is>
      </c>
      <c r="K67" s="26" t="inlineStr">
        <is>
          <t>男</t>
        </is>
      </c>
      <c r="L67" s="28" t="n">
        <v>88.77</v>
      </c>
      <c r="M67" s="26" t="inlineStr"/>
    </row>
    <row r="68" ht="19" customHeight="1">
      <c r="A68" s="26" t="n">
        <v>66</v>
      </c>
      <c r="B68" s="26" t="inlineStr">
        <is>
          <t>262100007127</t>
        </is>
      </c>
      <c r="C68" s="26" t="inlineStr">
        <is>
          <t>男</t>
        </is>
      </c>
      <c r="D68" s="28" t="n">
        <v>65.5</v>
      </c>
      <c r="E68" s="26" t="n">
        <v>66</v>
      </c>
      <c r="F68" s="26" t="inlineStr">
        <is>
          <t>是</t>
        </is>
      </c>
      <c r="G68" s="26" t="inlineStr"/>
      <c r="I68" s="26" t="n">
        <v>66</v>
      </c>
      <c r="J68" s="26" t="inlineStr">
        <is>
          <t>262100007166</t>
        </is>
      </c>
      <c r="K68" s="26" t="inlineStr">
        <is>
          <t>男</t>
        </is>
      </c>
      <c r="L68" s="28" t="n">
        <v>0</v>
      </c>
      <c r="M68" s="26" t="inlineStr">
        <is>
          <t>缺赛</t>
        </is>
      </c>
    </row>
    <row r="69" ht="19" customHeight="1">
      <c r="A69" s="26" t="n">
        <v>67</v>
      </c>
      <c r="B69" s="26" t="inlineStr">
        <is>
          <t>262100007124</t>
        </is>
      </c>
      <c r="C69" s="26" t="inlineStr">
        <is>
          <t>男</t>
        </is>
      </c>
      <c r="D69" s="28" t="n">
        <v>65</v>
      </c>
      <c r="E69" s="26" t="n">
        <v>67</v>
      </c>
      <c r="F69" s="26" t="inlineStr">
        <is>
          <t>是</t>
        </is>
      </c>
      <c r="G69" s="26" t="inlineStr"/>
      <c r="I69" s="26" t="n">
        <v>67</v>
      </c>
      <c r="J69" s="26" t="inlineStr">
        <is>
          <t>262100007181</t>
        </is>
      </c>
      <c r="K69" s="26" t="inlineStr">
        <is>
          <t>男</t>
        </is>
      </c>
      <c r="L69" s="28" t="n">
        <v>87.3</v>
      </c>
      <c r="M69" s="26" t="inlineStr"/>
    </row>
    <row r="70" ht="19" customHeight="1">
      <c r="A70" s="26" t="n">
        <v>68</v>
      </c>
      <c r="B70" s="26" t="inlineStr">
        <is>
          <t>262100007082</t>
        </is>
      </c>
      <c r="C70" s="26" t="inlineStr">
        <is>
          <t>男</t>
        </is>
      </c>
      <c r="D70" s="28" t="n">
        <v>65</v>
      </c>
      <c r="E70" s="26" t="n">
        <v>67</v>
      </c>
      <c r="F70" s="26" t="inlineStr">
        <is>
          <t>是</t>
        </is>
      </c>
      <c r="G70" s="26" t="inlineStr"/>
      <c r="I70" s="26" t="n">
        <v>68</v>
      </c>
      <c r="J70" s="26" t="inlineStr">
        <is>
          <t>262100007182</t>
        </is>
      </c>
      <c r="K70" s="26" t="inlineStr">
        <is>
          <t>男</t>
        </is>
      </c>
      <c r="L70" s="28" t="n">
        <v>0</v>
      </c>
      <c r="M70" s="26" t="inlineStr">
        <is>
          <t>缺赛</t>
        </is>
      </c>
    </row>
    <row r="71" ht="19" customHeight="1">
      <c r="A71" s="26" t="n">
        <v>69</v>
      </c>
      <c r="B71" s="26" t="inlineStr">
        <is>
          <t>262100007069</t>
        </is>
      </c>
      <c r="C71" s="26" t="inlineStr">
        <is>
          <t>男</t>
        </is>
      </c>
      <c r="D71" s="28" t="n">
        <v>65</v>
      </c>
      <c r="E71" s="26" t="n">
        <v>67</v>
      </c>
      <c r="F71" s="26" t="inlineStr">
        <is>
          <t>是</t>
        </is>
      </c>
      <c r="G71" s="26" t="inlineStr"/>
      <c r="I71" s="26" t="n">
        <v>69</v>
      </c>
      <c r="J71" s="26" t="inlineStr">
        <is>
          <t>262100007184</t>
        </is>
      </c>
      <c r="K71" s="26" t="inlineStr">
        <is>
          <t>女</t>
        </is>
      </c>
      <c r="L71" s="28" t="n">
        <v>0</v>
      </c>
      <c r="M71" s="26" t="inlineStr">
        <is>
          <t>缺赛</t>
        </is>
      </c>
    </row>
    <row r="72" ht="19" customHeight="1">
      <c r="A72" s="26" t="n">
        <v>70</v>
      </c>
      <c r="B72" s="26" t="inlineStr">
        <is>
          <t>262100007147</t>
        </is>
      </c>
      <c r="C72" s="26" t="inlineStr">
        <is>
          <t>男</t>
        </is>
      </c>
      <c r="D72" s="28" t="n">
        <v>63.5</v>
      </c>
      <c r="E72" s="26" t="n">
        <v>70</v>
      </c>
      <c r="F72" s="26" t="inlineStr">
        <is>
          <t>是</t>
        </is>
      </c>
      <c r="G72" s="26" t="inlineStr"/>
      <c r="I72" s="26" t="n">
        <v>70</v>
      </c>
      <c r="J72" s="26" t="inlineStr">
        <is>
          <t>262100007187</t>
        </is>
      </c>
      <c r="K72" s="26" t="inlineStr">
        <is>
          <t>男</t>
        </is>
      </c>
      <c r="L72" s="28" t="n">
        <v>88.13</v>
      </c>
      <c r="M72" s="26" t="inlineStr"/>
    </row>
    <row r="73" ht="19" customHeight="1">
      <c r="A73" s="26" t="n">
        <v>71</v>
      </c>
      <c r="B73" s="26" t="inlineStr">
        <is>
          <t>262100007133</t>
        </is>
      </c>
      <c r="C73" s="26" t="inlineStr">
        <is>
          <t>男</t>
        </is>
      </c>
      <c r="D73" s="28" t="n">
        <v>63</v>
      </c>
      <c r="E73" s="26" t="n">
        <v>71</v>
      </c>
      <c r="F73" s="26" t="inlineStr">
        <is>
          <t>否</t>
        </is>
      </c>
      <c r="G73" s="26" t="inlineStr"/>
    </row>
    <row r="74" ht="19" customHeight="1">
      <c r="A74" s="26" t="n">
        <v>72</v>
      </c>
      <c r="B74" s="26" t="inlineStr">
        <is>
          <t>262100007104</t>
        </is>
      </c>
      <c r="C74" s="26" t="inlineStr">
        <is>
          <t>男</t>
        </is>
      </c>
      <c r="D74" s="28" t="n">
        <v>63</v>
      </c>
      <c r="E74" s="26" t="n">
        <v>71</v>
      </c>
      <c r="F74" s="26" t="inlineStr">
        <is>
          <t>否</t>
        </is>
      </c>
      <c r="G74" s="26" t="inlineStr"/>
    </row>
    <row r="75" ht="19" customHeight="1">
      <c r="A75" s="26" t="n">
        <v>73</v>
      </c>
      <c r="B75" s="26" t="inlineStr">
        <is>
          <t>262100007183</t>
        </is>
      </c>
      <c r="C75" s="26" t="inlineStr">
        <is>
          <t>女</t>
        </is>
      </c>
      <c r="D75" s="28" t="n">
        <v>62.5</v>
      </c>
      <c r="E75" s="26" t="n">
        <v>73</v>
      </c>
      <c r="F75" s="26" t="inlineStr">
        <is>
          <t>否</t>
        </is>
      </c>
      <c r="G75" s="26" t="inlineStr"/>
    </row>
    <row r="76" ht="19" customHeight="1">
      <c r="A76" s="26" t="n">
        <v>74</v>
      </c>
      <c r="B76" s="26" t="inlineStr">
        <is>
          <t>262100007072</t>
        </is>
      </c>
      <c r="C76" s="26" t="inlineStr">
        <is>
          <t>女</t>
        </is>
      </c>
      <c r="D76" s="28" t="n">
        <v>61</v>
      </c>
      <c r="E76" s="26" t="n">
        <v>74</v>
      </c>
      <c r="F76" s="26" t="inlineStr">
        <is>
          <t>否</t>
        </is>
      </c>
      <c r="G76" s="26" t="inlineStr"/>
    </row>
    <row r="77" ht="19" customHeight="1">
      <c r="A77" s="26" t="n">
        <v>75</v>
      </c>
      <c r="B77" s="26" t="inlineStr">
        <is>
          <t>262100007136</t>
        </is>
      </c>
      <c r="C77" s="26" t="inlineStr">
        <is>
          <t>男</t>
        </is>
      </c>
      <c r="D77" s="28" t="n">
        <v>59.5</v>
      </c>
      <c r="E77" s="26" t="n">
        <v>75</v>
      </c>
      <c r="F77" s="26" t="inlineStr">
        <is>
          <t>否</t>
        </is>
      </c>
      <c r="G77" s="26" t="inlineStr"/>
    </row>
    <row r="78" ht="19" customHeight="1">
      <c r="A78" s="26" t="n">
        <v>76</v>
      </c>
      <c r="B78" s="26" t="inlineStr">
        <is>
          <t>262100007180</t>
        </is>
      </c>
      <c r="C78" s="26" t="inlineStr">
        <is>
          <t>男</t>
        </is>
      </c>
      <c r="D78" s="28" t="n">
        <v>59</v>
      </c>
      <c r="E78" s="26" t="n">
        <v>76</v>
      </c>
      <c r="F78" s="26" t="inlineStr">
        <is>
          <t>否</t>
        </is>
      </c>
      <c r="G78" s="26" t="inlineStr"/>
    </row>
    <row r="79" ht="19" customHeight="1">
      <c r="A79" s="26" t="n">
        <v>77</v>
      </c>
      <c r="B79" s="26" t="inlineStr">
        <is>
          <t>262100007135</t>
        </is>
      </c>
      <c r="C79" s="26" t="inlineStr">
        <is>
          <t>女</t>
        </is>
      </c>
      <c r="D79" s="28" t="n">
        <v>59</v>
      </c>
      <c r="E79" s="26" t="n">
        <v>76</v>
      </c>
      <c r="F79" s="26" t="inlineStr">
        <is>
          <t>否</t>
        </is>
      </c>
      <c r="G79" s="26" t="inlineStr"/>
    </row>
    <row r="80" ht="19" customHeight="1">
      <c r="A80" s="26" t="n">
        <v>78</v>
      </c>
      <c r="B80" s="26" t="inlineStr">
        <is>
          <t>262100007150</t>
        </is>
      </c>
      <c r="C80" s="26" t="inlineStr">
        <is>
          <t>男</t>
        </is>
      </c>
      <c r="D80" s="28" t="n">
        <v>59</v>
      </c>
      <c r="E80" s="26" t="n">
        <v>76</v>
      </c>
      <c r="F80" s="26" t="inlineStr">
        <is>
          <t>否</t>
        </is>
      </c>
      <c r="G80" s="26" t="inlineStr"/>
    </row>
    <row r="81" ht="19" customHeight="1">
      <c r="A81" s="26" t="n">
        <v>79</v>
      </c>
      <c r="B81" s="26" t="inlineStr">
        <is>
          <t>262100007086</t>
        </is>
      </c>
      <c r="C81" s="26" t="inlineStr">
        <is>
          <t>男</t>
        </is>
      </c>
      <c r="D81" s="28" t="n">
        <v>59</v>
      </c>
      <c r="E81" s="26" t="n">
        <v>76</v>
      </c>
      <c r="F81" s="26" t="inlineStr">
        <is>
          <t>否</t>
        </is>
      </c>
      <c r="G81" s="26" t="inlineStr"/>
    </row>
    <row r="82" ht="19" customHeight="1">
      <c r="A82" s="26" t="n">
        <v>80</v>
      </c>
      <c r="B82" s="26" t="inlineStr">
        <is>
          <t>262100007167</t>
        </is>
      </c>
      <c r="C82" s="26" t="inlineStr">
        <is>
          <t>男</t>
        </is>
      </c>
      <c r="D82" s="28" t="n">
        <v>58.5</v>
      </c>
      <c r="E82" s="26" t="n">
        <v>80</v>
      </c>
      <c r="F82" s="26" t="inlineStr">
        <is>
          <t>否</t>
        </is>
      </c>
      <c r="G82" s="26" t="inlineStr"/>
    </row>
    <row r="83" ht="19" customHeight="1">
      <c r="A83" s="26" t="n">
        <v>81</v>
      </c>
      <c r="B83" s="26" t="inlineStr">
        <is>
          <t>262100007089</t>
        </is>
      </c>
      <c r="C83" s="26" t="inlineStr">
        <is>
          <t>男</t>
        </is>
      </c>
      <c r="D83" s="28" t="n">
        <v>58</v>
      </c>
      <c r="E83" s="26" t="n">
        <v>81</v>
      </c>
      <c r="F83" s="26" t="inlineStr">
        <is>
          <t>否</t>
        </is>
      </c>
      <c r="G83" s="26" t="inlineStr"/>
    </row>
    <row r="84" ht="19" customHeight="1">
      <c r="A84" s="26" t="n">
        <v>82</v>
      </c>
      <c r="B84" s="26" t="inlineStr">
        <is>
          <t>262100007131</t>
        </is>
      </c>
      <c r="C84" s="26" t="inlineStr">
        <is>
          <t>男</t>
        </is>
      </c>
      <c r="D84" s="28" t="n">
        <v>58</v>
      </c>
      <c r="E84" s="26" t="n">
        <v>81</v>
      </c>
      <c r="F84" s="26" t="inlineStr">
        <is>
          <t>否</t>
        </is>
      </c>
      <c r="G84" s="26" t="inlineStr"/>
    </row>
    <row r="85" ht="19" customHeight="1">
      <c r="A85" s="26" t="n">
        <v>83</v>
      </c>
      <c r="B85" s="26" t="inlineStr">
        <is>
          <t>262100007081</t>
        </is>
      </c>
      <c r="C85" s="26" t="inlineStr">
        <is>
          <t>男</t>
        </is>
      </c>
      <c r="D85" s="28" t="n">
        <v>58</v>
      </c>
      <c r="E85" s="26" t="n">
        <v>81</v>
      </c>
      <c r="F85" s="26" t="inlineStr">
        <is>
          <t>否</t>
        </is>
      </c>
      <c r="G85" s="26" t="inlineStr"/>
    </row>
    <row r="86" ht="19" customHeight="1">
      <c r="A86" s="26" t="n">
        <v>84</v>
      </c>
      <c r="B86" s="26" t="inlineStr">
        <is>
          <t>262100007175</t>
        </is>
      </c>
      <c r="C86" s="26" t="inlineStr">
        <is>
          <t>男</t>
        </is>
      </c>
      <c r="D86" s="28" t="n">
        <v>56</v>
      </c>
      <c r="E86" s="26" t="n">
        <v>84</v>
      </c>
      <c r="F86" s="26" t="inlineStr">
        <is>
          <t>否</t>
        </is>
      </c>
      <c r="G86" s="26" t="inlineStr"/>
    </row>
    <row r="87" ht="19" customHeight="1">
      <c r="A87" s="26" t="n">
        <v>85</v>
      </c>
      <c r="B87" s="26" t="inlineStr">
        <is>
          <t>262100007123</t>
        </is>
      </c>
      <c r="C87" s="26" t="inlineStr">
        <is>
          <t>男</t>
        </is>
      </c>
      <c r="D87" s="28" t="n">
        <v>56</v>
      </c>
      <c r="E87" s="26" t="n">
        <v>84</v>
      </c>
      <c r="F87" s="26" t="inlineStr">
        <is>
          <t>否</t>
        </is>
      </c>
      <c r="G87" s="26" t="inlineStr"/>
    </row>
    <row r="88" ht="19" customHeight="1">
      <c r="A88" s="26" t="n">
        <v>86</v>
      </c>
      <c r="B88" s="26" t="inlineStr">
        <is>
          <t>262100007140</t>
        </is>
      </c>
      <c r="C88" s="26" t="inlineStr">
        <is>
          <t>男</t>
        </is>
      </c>
      <c r="D88" s="28" t="n">
        <v>55</v>
      </c>
      <c r="E88" s="26" t="n">
        <v>86</v>
      </c>
      <c r="F88" s="26" t="inlineStr">
        <is>
          <t>否</t>
        </is>
      </c>
      <c r="G88" s="26" t="inlineStr"/>
    </row>
    <row r="89" ht="19" customHeight="1">
      <c r="A89" s="26" t="n">
        <v>87</v>
      </c>
      <c r="B89" s="26" t="inlineStr">
        <is>
          <t>262100007059</t>
        </is>
      </c>
      <c r="C89" s="26" t="inlineStr">
        <is>
          <t>男</t>
        </is>
      </c>
      <c r="D89" s="28" t="n">
        <v>52.5</v>
      </c>
      <c r="E89" s="26" t="n">
        <v>87</v>
      </c>
      <c r="F89" s="26" t="inlineStr">
        <is>
          <t>否</t>
        </is>
      </c>
      <c r="G89" s="26" t="inlineStr"/>
    </row>
    <row r="90" ht="19" customHeight="1">
      <c r="A90" s="26" t="n">
        <v>88</v>
      </c>
      <c r="B90" s="26" t="inlineStr">
        <is>
          <t>262100007091</t>
        </is>
      </c>
      <c r="C90" s="26" t="inlineStr">
        <is>
          <t>男</t>
        </is>
      </c>
      <c r="D90" s="28" t="n">
        <v>51.5</v>
      </c>
      <c r="E90" s="26" t="n">
        <v>88</v>
      </c>
      <c r="F90" s="26" t="inlineStr">
        <is>
          <t>否</t>
        </is>
      </c>
      <c r="G90" s="26" t="inlineStr"/>
    </row>
    <row r="91" ht="19" customHeight="1">
      <c r="A91" s="26" t="n">
        <v>89</v>
      </c>
      <c r="B91" s="26" t="inlineStr">
        <is>
          <t>262100007030</t>
        </is>
      </c>
      <c r="C91" s="26" t="inlineStr">
        <is>
          <t>男</t>
        </is>
      </c>
      <c r="D91" s="28" t="n">
        <v>51</v>
      </c>
      <c r="E91" s="26" t="n">
        <v>89</v>
      </c>
      <c r="F91" s="26" t="inlineStr">
        <is>
          <t>否</t>
        </is>
      </c>
      <c r="G91" s="26" t="inlineStr"/>
    </row>
    <row r="92" ht="19" customHeight="1">
      <c r="A92" s="26" t="n">
        <v>90</v>
      </c>
      <c r="B92" s="26" t="inlineStr">
        <is>
          <t>262100007036</t>
        </is>
      </c>
      <c r="C92" s="26" t="inlineStr">
        <is>
          <t>女</t>
        </is>
      </c>
      <c r="D92" s="28" t="n">
        <v>51</v>
      </c>
      <c r="E92" s="26" t="n">
        <v>89</v>
      </c>
      <c r="F92" s="26" t="inlineStr">
        <is>
          <t>否</t>
        </is>
      </c>
      <c r="G92" s="26" t="inlineStr"/>
    </row>
    <row r="93" ht="19" customHeight="1">
      <c r="A93" s="26" t="n">
        <v>91</v>
      </c>
      <c r="B93" s="26" t="inlineStr">
        <is>
          <t>262100007057</t>
        </is>
      </c>
      <c r="C93" s="26" t="inlineStr">
        <is>
          <t>男</t>
        </is>
      </c>
      <c r="D93" s="28" t="n">
        <v>49.5</v>
      </c>
      <c r="E93" s="26" t="n">
        <v>91</v>
      </c>
      <c r="F93" s="26" t="inlineStr">
        <is>
          <t>否</t>
        </is>
      </c>
      <c r="G93" s="26" t="inlineStr"/>
    </row>
    <row r="94" ht="19" customHeight="1">
      <c r="A94" s="26" t="n">
        <v>92</v>
      </c>
      <c r="B94" s="26" t="inlineStr">
        <is>
          <t>262100007018</t>
        </is>
      </c>
      <c r="C94" s="26" t="inlineStr">
        <is>
          <t>女</t>
        </is>
      </c>
      <c r="D94" s="28" t="n">
        <v>39.5</v>
      </c>
      <c r="E94" s="26" t="n">
        <v>92</v>
      </c>
      <c r="F94" s="26" t="inlineStr">
        <is>
          <t>否</t>
        </is>
      </c>
      <c r="G94" s="26" t="inlineStr"/>
    </row>
    <row r="95" ht="19" customHeight="1">
      <c r="A95" s="26" t="n">
        <v>93</v>
      </c>
      <c r="B95" s="26" t="inlineStr">
        <is>
          <t>262100007058</t>
        </is>
      </c>
      <c r="C95" s="26" t="inlineStr">
        <is>
          <t>男</t>
        </is>
      </c>
      <c r="D95" s="28" t="n">
        <v>38</v>
      </c>
      <c r="E95" s="26" t="n">
        <v>93</v>
      </c>
      <c r="F95" s="26" t="inlineStr">
        <is>
          <t>否</t>
        </is>
      </c>
      <c r="G95" s="26" t="inlineStr"/>
    </row>
    <row r="96" ht="19" customHeight="1">
      <c r="A96" s="26" t="n">
        <v>94</v>
      </c>
      <c r="B96" s="26" t="inlineStr">
        <is>
          <t>262100007076</t>
        </is>
      </c>
      <c r="C96" s="26" t="inlineStr">
        <is>
          <t>女</t>
        </is>
      </c>
      <c r="D96" s="28" t="n">
        <v>34</v>
      </c>
      <c r="E96" s="26" t="n">
        <v>94</v>
      </c>
      <c r="F96" s="26" t="inlineStr">
        <is>
          <t>否</t>
        </is>
      </c>
      <c r="G96" s="26" t="inlineStr"/>
    </row>
    <row r="97" ht="19" customHeight="1">
      <c r="A97" s="26" t="n">
        <v>95</v>
      </c>
      <c r="B97" s="26" t="inlineStr">
        <is>
          <t>262100007100</t>
        </is>
      </c>
      <c r="C97" s="26" t="inlineStr">
        <is>
          <t>男</t>
        </is>
      </c>
      <c r="D97" s="28" t="n">
        <v>0</v>
      </c>
      <c r="E97" s="26" t="inlineStr">
        <is>
          <t>/</t>
        </is>
      </c>
      <c r="F97" s="26" t="inlineStr">
        <is>
          <t>否</t>
        </is>
      </c>
      <c r="G97" s="26" t="inlineStr">
        <is>
          <t>缺赛</t>
        </is>
      </c>
    </row>
    <row r="98" ht="19" customHeight="1">
      <c r="A98" s="26" t="n">
        <v>96</v>
      </c>
      <c r="B98" s="26" t="inlineStr">
        <is>
          <t>262100007083</t>
        </is>
      </c>
      <c r="C98" s="26" t="inlineStr">
        <is>
          <t>女</t>
        </is>
      </c>
      <c r="D98" s="28" t="n">
        <v>0</v>
      </c>
      <c r="E98" s="26" t="inlineStr">
        <is>
          <t>/</t>
        </is>
      </c>
      <c r="F98" s="26" t="inlineStr">
        <is>
          <t>否</t>
        </is>
      </c>
      <c r="G98" s="26" t="inlineStr">
        <is>
          <t>缺赛</t>
        </is>
      </c>
    </row>
    <row r="99" ht="19" customHeight="1">
      <c r="A99" s="26" t="n">
        <v>97</v>
      </c>
      <c r="B99" s="26" t="inlineStr">
        <is>
          <t>262100007092</t>
        </is>
      </c>
      <c r="C99" s="26" t="inlineStr">
        <is>
          <t>男</t>
        </is>
      </c>
      <c r="D99" s="28" t="n">
        <v>0</v>
      </c>
      <c r="E99" s="26" t="inlineStr">
        <is>
          <t>/</t>
        </is>
      </c>
      <c r="F99" s="26" t="inlineStr">
        <is>
          <t>否</t>
        </is>
      </c>
      <c r="G99" s="26" t="inlineStr">
        <is>
          <t>缺赛</t>
        </is>
      </c>
    </row>
    <row r="100" ht="19" customHeight="1">
      <c r="A100" s="26" t="n">
        <v>98</v>
      </c>
      <c r="B100" s="26" t="inlineStr">
        <is>
          <t>262100007101</t>
        </is>
      </c>
      <c r="C100" s="26" t="inlineStr">
        <is>
          <t>女</t>
        </is>
      </c>
      <c r="D100" s="28" t="n">
        <v>0</v>
      </c>
      <c r="E100" s="26" t="inlineStr">
        <is>
          <t>/</t>
        </is>
      </c>
      <c r="F100" s="26" t="inlineStr">
        <is>
          <t>否</t>
        </is>
      </c>
      <c r="G100" s="26" t="inlineStr">
        <is>
          <t>缺赛</t>
        </is>
      </c>
    </row>
    <row r="101" ht="19" customHeight="1">
      <c r="A101" s="26" t="n">
        <v>99</v>
      </c>
      <c r="B101" s="26" t="inlineStr">
        <is>
          <t>262100007108</t>
        </is>
      </c>
      <c r="C101" s="26" t="inlineStr">
        <is>
          <t>男</t>
        </is>
      </c>
      <c r="D101" s="28" t="n">
        <v>0</v>
      </c>
      <c r="E101" s="26" t="inlineStr">
        <is>
          <t>/</t>
        </is>
      </c>
      <c r="F101" s="26" t="inlineStr">
        <is>
          <t>否</t>
        </is>
      </c>
      <c r="G101" s="26" t="inlineStr">
        <is>
          <t>缺赛</t>
        </is>
      </c>
    </row>
    <row r="102" ht="19" customHeight="1">
      <c r="A102" s="26" t="n">
        <v>100</v>
      </c>
      <c r="B102" s="26" t="inlineStr">
        <is>
          <t>262100007164</t>
        </is>
      </c>
      <c r="C102" s="26" t="inlineStr">
        <is>
          <t>男</t>
        </is>
      </c>
      <c r="D102" s="28" t="n">
        <v>0</v>
      </c>
      <c r="E102" s="26" t="inlineStr">
        <is>
          <t>/</t>
        </is>
      </c>
      <c r="F102" s="26" t="inlineStr">
        <is>
          <t>否</t>
        </is>
      </c>
      <c r="G102" s="26" t="inlineStr">
        <is>
          <t>缺赛</t>
        </is>
      </c>
    </row>
    <row r="103" ht="19" customHeight="1">
      <c r="A103" s="26" t="n">
        <v>101</v>
      </c>
      <c r="B103" s="26" t="inlineStr">
        <is>
          <t>262100007112</t>
        </is>
      </c>
      <c r="C103" s="26" t="inlineStr">
        <is>
          <t>女</t>
        </is>
      </c>
      <c r="D103" s="28" t="n">
        <v>0</v>
      </c>
      <c r="E103" s="26" t="inlineStr">
        <is>
          <t>/</t>
        </is>
      </c>
      <c r="F103" s="26" t="inlineStr">
        <is>
          <t>否</t>
        </is>
      </c>
      <c r="G103" s="26" t="inlineStr">
        <is>
          <t>缺赛</t>
        </is>
      </c>
    </row>
    <row r="104" ht="19" customHeight="1">
      <c r="A104" s="26" t="n">
        <v>102</v>
      </c>
      <c r="B104" s="26" t="inlineStr">
        <is>
          <t>262100007158</t>
        </is>
      </c>
      <c r="C104" s="26" t="inlineStr">
        <is>
          <t>男</t>
        </is>
      </c>
      <c r="D104" s="28" t="n">
        <v>0</v>
      </c>
      <c r="E104" s="26" t="inlineStr">
        <is>
          <t>/</t>
        </is>
      </c>
      <c r="F104" s="26" t="inlineStr">
        <is>
          <t>否</t>
        </is>
      </c>
      <c r="G104" s="26" t="inlineStr">
        <is>
          <t>缺赛</t>
        </is>
      </c>
    </row>
    <row r="105" ht="19" customHeight="1">
      <c r="A105" s="26" t="n">
        <v>103</v>
      </c>
      <c r="B105" s="26" t="inlineStr">
        <is>
          <t>262100007161</t>
        </is>
      </c>
      <c r="C105" s="26" t="inlineStr">
        <is>
          <t>男</t>
        </is>
      </c>
      <c r="D105" s="28" t="n">
        <v>0</v>
      </c>
      <c r="E105" s="26" t="inlineStr">
        <is>
          <t>/</t>
        </is>
      </c>
      <c r="F105" s="26" t="inlineStr">
        <is>
          <t>否</t>
        </is>
      </c>
      <c r="G105" s="26" t="inlineStr">
        <is>
          <t>缺赛</t>
        </is>
      </c>
    </row>
    <row r="106" ht="19" customHeight="1">
      <c r="A106" s="26" t="n">
        <v>104</v>
      </c>
      <c r="B106" s="26" t="inlineStr">
        <is>
          <t>262100007153</t>
        </is>
      </c>
      <c r="C106" s="26" t="inlineStr">
        <is>
          <t>女</t>
        </is>
      </c>
      <c r="D106" s="28" t="n">
        <v>0</v>
      </c>
      <c r="E106" s="26" t="inlineStr">
        <is>
          <t>/</t>
        </is>
      </c>
      <c r="F106" s="26" t="inlineStr">
        <is>
          <t>否</t>
        </is>
      </c>
      <c r="G106" s="26" t="inlineStr">
        <is>
          <t>缺赛</t>
        </is>
      </c>
    </row>
    <row r="107" ht="19" customHeight="1">
      <c r="A107" s="26" t="n">
        <v>105</v>
      </c>
      <c r="B107" s="26" t="inlineStr">
        <is>
          <t>262100007047</t>
        </is>
      </c>
      <c r="C107" s="26" t="inlineStr">
        <is>
          <t>男</t>
        </is>
      </c>
      <c r="D107" s="28" t="n">
        <v>0</v>
      </c>
      <c r="E107" s="26" t="inlineStr">
        <is>
          <t>/</t>
        </is>
      </c>
      <c r="F107" s="26" t="inlineStr">
        <is>
          <t>否</t>
        </is>
      </c>
      <c r="G107" s="26" t="inlineStr">
        <is>
          <t>缺赛</t>
        </is>
      </c>
    </row>
    <row r="108" ht="19" customHeight="1">
      <c r="A108" s="26" t="n">
        <v>106</v>
      </c>
      <c r="B108" s="26" t="inlineStr">
        <is>
          <t>262100007178</t>
        </is>
      </c>
      <c r="C108" s="26" t="inlineStr">
        <is>
          <t>男</t>
        </is>
      </c>
      <c r="D108" s="28" t="n">
        <v>0</v>
      </c>
      <c r="E108" s="26" t="inlineStr">
        <is>
          <t>/</t>
        </is>
      </c>
      <c r="F108" s="26" t="inlineStr">
        <is>
          <t>否</t>
        </is>
      </c>
      <c r="G108" s="26" t="inlineStr">
        <is>
          <t>缺赛</t>
        </is>
      </c>
    </row>
    <row r="109" ht="19" customHeight="1">
      <c r="A109" s="26" t="n">
        <v>107</v>
      </c>
      <c r="B109" s="26" t="inlineStr">
        <is>
          <t>262100007179</t>
        </is>
      </c>
      <c r="C109" s="26" t="inlineStr">
        <is>
          <t>男</t>
        </is>
      </c>
      <c r="D109" s="28" t="n">
        <v>0</v>
      </c>
      <c r="E109" s="26" t="inlineStr">
        <is>
          <t>/</t>
        </is>
      </c>
      <c r="F109" s="26" t="inlineStr">
        <is>
          <t>否</t>
        </is>
      </c>
      <c r="G109" s="26" t="inlineStr">
        <is>
          <t>缺赛</t>
        </is>
      </c>
    </row>
    <row r="110" ht="19" customHeight="1">
      <c r="A110" s="26" t="n">
        <v>108</v>
      </c>
      <c r="B110" s="26" t="inlineStr">
        <is>
          <t>262100007107</t>
        </is>
      </c>
      <c r="C110" s="26" t="inlineStr">
        <is>
          <t>女</t>
        </is>
      </c>
      <c r="D110" s="28" t="n">
        <v>0</v>
      </c>
      <c r="E110" s="26" t="inlineStr">
        <is>
          <t>/</t>
        </is>
      </c>
      <c r="F110" s="26" t="inlineStr">
        <is>
          <t>否</t>
        </is>
      </c>
      <c r="G110" s="26" t="inlineStr">
        <is>
          <t>缺赛</t>
        </is>
      </c>
    </row>
    <row r="111" ht="19" customHeight="1">
      <c r="A111" s="26" t="n">
        <v>109</v>
      </c>
      <c r="B111" s="26" t="inlineStr">
        <is>
          <t>262100007021</t>
        </is>
      </c>
      <c r="C111" s="26" t="inlineStr">
        <is>
          <t>男</t>
        </is>
      </c>
      <c r="D111" s="28" t="n">
        <v>0</v>
      </c>
      <c r="E111" s="26" t="inlineStr">
        <is>
          <t>/</t>
        </is>
      </c>
      <c r="F111" s="26" t="inlineStr">
        <is>
          <t>否</t>
        </is>
      </c>
      <c r="G111" s="26" t="inlineStr">
        <is>
          <t>缺赛</t>
        </is>
      </c>
    </row>
    <row r="112" ht="19" customHeight="1">
      <c r="A112" s="26" t="n">
        <v>110</v>
      </c>
      <c r="B112" s="26" t="inlineStr">
        <is>
          <t>262100007186</t>
        </is>
      </c>
      <c r="C112" s="26" t="inlineStr">
        <is>
          <t>男</t>
        </is>
      </c>
      <c r="D112" s="28" t="n">
        <v>0</v>
      </c>
      <c r="E112" s="26" t="inlineStr">
        <is>
          <t>/</t>
        </is>
      </c>
      <c r="F112" s="26" t="inlineStr">
        <is>
          <t>否</t>
        </is>
      </c>
      <c r="G112" s="26" t="inlineStr">
        <is>
          <t>缺赛</t>
        </is>
      </c>
    </row>
    <row r="113" ht="19" customHeight="1">
      <c r="A113" s="26" t="n">
        <v>111</v>
      </c>
      <c r="B113" s="26" t="inlineStr">
        <is>
          <t>262100007141</t>
        </is>
      </c>
      <c r="C113" s="26" t="inlineStr">
        <is>
          <t>男</t>
        </is>
      </c>
      <c r="D113" s="28" t="n">
        <v>0</v>
      </c>
      <c r="E113" s="26" t="inlineStr">
        <is>
          <t>/</t>
        </is>
      </c>
      <c r="F113" s="26" t="inlineStr">
        <is>
          <t>否</t>
        </is>
      </c>
      <c r="G113" s="26" t="inlineStr">
        <is>
          <t>缺赛</t>
        </is>
      </c>
    </row>
    <row r="114" ht="19" customHeight="1">
      <c r="A114" s="26" t="n">
        <v>112</v>
      </c>
      <c r="B114" s="26" t="inlineStr">
        <is>
          <t>262100007125</t>
        </is>
      </c>
      <c r="C114" s="26" t="inlineStr">
        <is>
          <t>女</t>
        </is>
      </c>
      <c r="D114" s="28" t="n">
        <v>0</v>
      </c>
      <c r="E114" s="26" t="inlineStr">
        <is>
          <t>/</t>
        </is>
      </c>
      <c r="F114" s="26" t="inlineStr">
        <is>
          <t>否</t>
        </is>
      </c>
      <c r="G114" s="26" t="inlineStr">
        <is>
          <t>缺赛</t>
        </is>
      </c>
    </row>
    <row r="115" ht="19" customHeight="1">
      <c r="A115" s="26" t="n">
        <v>113</v>
      </c>
      <c r="B115" s="26" t="inlineStr">
        <is>
          <t>262100007149</t>
        </is>
      </c>
      <c r="C115" s="26" t="inlineStr">
        <is>
          <t>男</t>
        </is>
      </c>
      <c r="D115" s="28" t="n">
        <v>0</v>
      </c>
      <c r="E115" s="26" t="inlineStr">
        <is>
          <t>/</t>
        </is>
      </c>
      <c r="F115" s="26" t="inlineStr">
        <is>
          <t>否</t>
        </is>
      </c>
      <c r="G115" s="26" t="inlineStr">
        <is>
          <t>缺赛</t>
        </is>
      </c>
    </row>
    <row r="116" ht="19" customHeight="1">
      <c r="A116" s="26" t="n">
        <v>114</v>
      </c>
      <c r="B116" s="26" t="inlineStr">
        <is>
          <t>262100007102</t>
        </is>
      </c>
      <c r="C116" s="26" t="inlineStr">
        <is>
          <t>女</t>
        </is>
      </c>
      <c r="D116" s="28" t="n">
        <v>0</v>
      </c>
      <c r="E116" s="26" t="inlineStr">
        <is>
          <t>/</t>
        </is>
      </c>
      <c r="F116" s="26" t="inlineStr">
        <is>
          <t>否</t>
        </is>
      </c>
      <c r="G116" s="26" t="inlineStr">
        <is>
          <t>缺赛</t>
        </is>
      </c>
    </row>
    <row r="117" ht="19" customHeight="1">
      <c r="A117" s="26" t="n">
        <v>115</v>
      </c>
      <c r="B117" s="26" t="inlineStr">
        <is>
          <t>262100007061</t>
        </is>
      </c>
      <c r="C117" s="26" t="inlineStr">
        <is>
          <t>女</t>
        </is>
      </c>
      <c r="D117" s="28" t="n">
        <v>0</v>
      </c>
      <c r="E117" s="26" t="inlineStr">
        <is>
          <t>/</t>
        </is>
      </c>
      <c r="F117" s="26" t="inlineStr">
        <is>
          <t>否</t>
        </is>
      </c>
      <c r="G117" s="26" t="inlineStr">
        <is>
          <t>缺赛</t>
        </is>
      </c>
    </row>
    <row r="118" ht="19" customHeight="1">
      <c r="A118" s="26" t="n">
        <v>116</v>
      </c>
      <c r="B118" s="26" t="inlineStr">
        <is>
          <t>262100007165</t>
        </is>
      </c>
      <c r="C118" s="26" t="inlineStr">
        <is>
          <t>男</t>
        </is>
      </c>
      <c r="D118" s="28" t="n">
        <v>0</v>
      </c>
      <c r="E118" s="26" t="inlineStr">
        <is>
          <t>/</t>
        </is>
      </c>
      <c r="F118" s="26" t="inlineStr">
        <is>
          <t>否</t>
        </is>
      </c>
      <c r="G118" s="26" t="inlineStr">
        <is>
          <t>缺赛</t>
        </is>
      </c>
    </row>
    <row r="119" ht="19" customHeight="1">
      <c r="A119" s="26" t="n">
        <v>117</v>
      </c>
      <c r="B119" s="26" t="inlineStr">
        <is>
          <t>262100007053</t>
        </is>
      </c>
      <c r="C119" s="26" t="inlineStr">
        <is>
          <t>男</t>
        </is>
      </c>
      <c r="D119" s="28" t="n">
        <v>0</v>
      </c>
      <c r="E119" s="26" t="inlineStr">
        <is>
          <t>/</t>
        </is>
      </c>
      <c r="F119" s="26" t="inlineStr">
        <is>
          <t>否</t>
        </is>
      </c>
      <c r="G119" s="26" t="inlineStr">
        <is>
          <t>缺赛</t>
        </is>
      </c>
    </row>
    <row r="120" ht="19" customHeight="1">
      <c r="A120" s="26" t="n">
        <v>118</v>
      </c>
      <c r="B120" s="26" t="inlineStr">
        <is>
          <t>262100007146</t>
        </is>
      </c>
      <c r="C120" s="26" t="inlineStr">
        <is>
          <t>男</t>
        </is>
      </c>
      <c r="D120" s="28" t="n">
        <v>0</v>
      </c>
      <c r="E120" s="26" t="inlineStr">
        <is>
          <t>/</t>
        </is>
      </c>
      <c r="F120" s="26" t="inlineStr">
        <is>
          <t>否</t>
        </is>
      </c>
      <c r="G120" s="26" t="inlineStr">
        <is>
          <t>缺赛</t>
        </is>
      </c>
    </row>
    <row r="121" ht="19" customHeight="1">
      <c r="A121" s="26" t="n">
        <v>119</v>
      </c>
      <c r="B121" s="26" t="inlineStr">
        <is>
          <t>262100007062</t>
        </is>
      </c>
      <c r="C121" s="26" t="inlineStr">
        <is>
          <t>男</t>
        </is>
      </c>
      <c r="D121" s="28" t="n">
        <v>0</v>
      </c>
      <c r="E121" s="26" t="inlineStr">
        <is>
          <t>/</t>
        </is>
      </c>
      <c r="F121" s="26" t="inlineStr">
        <is>
          <t>否</t>
        </is>
      </c>
      <c r="G121" s="26" t="inlineStr">
        <is>
          <t>缺赛</t>
        </is>
      </c>
    </row>
    <row r="122" ht="19" customHeight="1">
      <c r="A122" s="26" t="n">
        <v>120</v>
      </c>
      <c r="B122" s="26" t="inlineStr">
        <is>
          <t>262100007173</t>
        </is>
      </c>
      <c r="C122" s="26" t="inlineStr">
        <is>
          <t>男</t>
        </is>
      </c>
      <c r="D122" s="28" t="n">
        <v>0</v>
      </c>
      <c r="E122" s="26" t="inlineStr">
        <is>
          <t>/</t>
        </is>
      </c>
      <c r="F122" s="26" t="inlineStr">
        <is>
          <t>否</t>
        </is>
      </c>
      <c r="G122" s="26" t="inlineStr">
        <is>
          <t>缺赛</t>
        </is>
      </c>
    </row>
    <row r="123" ht="19" customHeight="1">
      <c r="A123" s="26" t="n">
        <v>121</v>
      </c>
      <c r="B123" s="26" t="inlineStr">
        <is>
          <t>262100007105</t>
        </is>
      </c>
      <c r="C123" s="26" t="inlineStr">
        <is>
          <t>女</t>
        </is>
      </c>
      <c r="D123" s="28" t="n">
        <v>0</v>
      </c>
      <c r="E123" s="26" t="inlineStr">
        <is>
          <t>/</t>
        </is>
      </c>
      <c r="F123" s="26" t="inlineStr">
        <is>
          <t>否</t>
        </is>
      </c>
      <c r="G123" s="26" t="inlineStr">
        <is>
          <t>缺赛</t>
        </is>
      </c>
    </row>
    <row r="124" ht="19" customHeight="1">
      <c r="A124" s="26" t="n">
        <v>122</v>
      </c>
      <c r="B124" s="26" t="inlineStr">
        <is>
          <t>262100007132</t>
        </is>
      </c>
      <c r="C124" s="26" t="inlineStr">
        <is>
          <t>男</t>
        </is>
      </c>
      <c r="D124" s="28" t="n">
        <v>0</v>
      </c>
      <c r="E124" s="26" t="inlineStr">
        <is>
          <t>/</t>
        </is>
      </c>
      <c r="F124" s="26" t="inlineStr">
        <is>
          <t>否</t>
        </is>
      </c>
      <c r="G124" s="26" t="inlineStr">
        <is>
          <t>缺赛</t>
        </is>
      </c>
    </row>
    <row r="125" ht="19" customHeight="1">
      <c r="A125" s="26" t="n">
        <v>123</v>
      </c>
      <c r="B125" s="26" t="inlineStr">
        <is>
          <t>262100007115</t>
        </is>
      </c>
      <c r="C125" s="26" t="inlineStr">
        <is>
          <t>女</t>
        </is>
      </c>
      <c r="D125" s="28" t="n">
        <v>0</v>
      </c>
      <c r="E125" s="26" t="inlineStr">
        <is>
          <t>/</t>
        </is>
      </c>
      <c r="F125" s="26" t="inlineStr">
        <is>
          <t>否</t>
        </is>
      </c>
      <c r="G125" s="26" t="inlineStr">
        <is>
          <t>缺赛</t>
        </is>
      </c>
    </row>
    <row r="126" ht="19" customHeight="1">
      <c r="A126" s="26" t="n">
        <v>124</v>
      </c>
      <c r="B126" s="26" t="inlineStr">
        <is>
          <t>262100007095</t>
        </is>
      </c>
      <c r="C126" s="26" t="inlineStr">
        <is>
          <t>女</t>
        </is>
      </c>
      <c r="D126" s="28" t="n">
        <v>0</v>
      </c>
      <c r="E126" s="26" t="inlineStr">
        <is>
          <t>/</t>
        </is>
      </c>
      <c r="F126" s="26" t="inlineStr">
        <is>
          <t>否</t>
        </is>
      </c>
      <c r="G126" s="26" t="inlineStr">
        <is>
          <t>缺赛</t>
        </is>
      </c>
    </row>
    <row r="127" ht="19" customHeight="1">
      <c r="A127" s="26" t="n">
        <v>125</v>
      </c>
      <c r="B127" s="26" t="inlineStr">
        <is>
          <t>262100007148</t>
        </is>
      </c>
      <c r="C127" s="26" t="inlineStr">
        <is>
          <t>女</t>
        </is>
      </c>
      <c r="D127" s="28" t="n">
        <v>0</v>
      </c>
      <c r="E127" s="26" t="inlineStr">
        <is>
          <t>/</t>
        </is>
      </c>
      <c r="F127" s="26" t="inlineStr">
        <is>
          <t>否</t>
        </is>
      </c>
      <c r="G127" s="26" t="inlineStr">
        <is>
          <t>缺赛</t>
        </is>
      </c>
    </row>
    <row r="128" ht="19" customHeight="1">
      <c r="A128" s="26" t="n">
        <v>126</v>
      </c>
      <c r="B128" s="26" t="inlineStr">
        <is>
          <t>262100007046</t>
        </is>
      </c>
      <c r="C128" s="26" t="inlineStr">
        <is>
          <t>男</t>
        </is>
      </c>
      <c r="D128" s="28" t="n">
        <v>0</v>
      </c>
      <c r="E128" s="26" t="inlineStr">
        <is>
          <t>/</t>
        </is>
      </c>
      <c r="F128" s="26" t="inlineStr">
        <is>
          <t>否</t>
        </is>
      </c>
      <c r="G128" s="26" t="inlineStr">
        <is>
          <t>缺赛</t>
        </is>
      </c>
    </row>
    <row r="129" ht="19" customHeight="1">
      <c r="A129" s="26" t="n">
        <v>127</v>
      </c>
      <c r="B129" s="26" t="inlineStr">
        <is>
          <t>262100007163</t>
        </is>
      </c>
      <c r="C129" s="26" t="inlineStr">
        <is>
          <t>男</t>
        </is>
      </c>
      <c r="D129" s="28" t="n">
        <v>0</v>
      </c>
      <c r="E129" s="26" t="inlineStr">
        <is>
          <t>/</t>
        </is>
      </c>
      <c r="F129" s="26" t="inlineStr">
        <is>
          <t>否</t>
        </is>
      </c>
      <c r="G129" s="26" t="inlineStr">
        <is>
          <t>缺赛</t>
        </is>
      </c>
    </row>
    <row r="130" ht="19" customHeight="1">
      <c r="A130" s="26" t="n">
        <v>128</v>
      </c>
      <c r="B130" s="26" t="inlineStr">
        <is>
          <t>262100007055</t>
        </is>
      </c>
      <c r="C130" s="26" t="inlineStr">
        <is>
          <t>女</t>
        </is>
      </c>
      <c r="D130" s="28" t="n">
        <v>0</v>
      </c>
      <c r="E130" s="26" t="inlineStr">
        <is>
          <t>/</t>
        </is>
      </c>
      <c r="F130" s="26" t="inlineStr">
        <is>
          <t>否</t>
        </is>
      </c>
      <c r="G130" s="26" t="inlineStr">
        <is>
          <t>缺赛</t>
        </is>
      </c>
    </row>
    <row r="131" ht="19" customHeight="1">
      <c r="A131" s="26" t="n">
        <v>129</v>
      </c>
      <c r="B131" s="26" t="inlineStr">
        <is>
          <t>262100007027</t>
        </is>
      </c>
      <c r="C131" s="26" t="inlineStr">
        <is>
          <t>女</t>
        </is>
      </c>
      <c r="D131" s="28" t="n">
        <v>0</v>
      </c>
      <c r="E131" s="26" t="inlineStr">
        <is>
          <t>/</t>
        </is>
      </c>
      <c r="F131" s="26" t="inlineStr">
        <is>
          <t>否</t>
        </is>
      </c>
      <c r="G131" s="26" t="inlineStr">
        <is>
          <t>缺赛</t>
        </is>
      </c>
    </row>
    <row r="132" ht="19" customHeight="1">
      <c r="A132" s="26" t="n">
        <v>130</v>
      </c>
      <c r="B132" s="26" t="inlineStr">
        <is>
          <t>262100007066</t>
        </is>
      </c>
      <c r="C132" s="26" t="inlineStr">
        <is>
          <t>男</t>
        </is>
      </c>
      <c r="D132" s="28" t="n">
        <v>0</v>
      </c>
      <c r="E132" s="26" t="inlineStr">
        <is>
          <t>/</t>
        </is>
      </c>
      <c r="F132" s="26" t="inlineStr">
        <is>
          <t>否</t>
        </is>
      </c>
      <c r="G132" s="26" t="inlineStr">
        <is>
          <t>缺赛</t>
        </is>
      </c>
    </row>
    <row r="133" ht="19" customHeight="1">
      <c r="A133" s="26" t="n">
        <v>131</v>
      </c>
      <c r="B133" s="26" t="inlineStr">
        <is>
          <t>262100007118</t>
        </is>
      </c>
      <c r="C133" s="26" t="inlineStr">
        <is>
          <t>男</t>
        </is>
      </c>
      <c r="D133" s="28" t="n">
        <v>0</v>
      </c>
      <c r="E133" s="26" t="inlineStr">
        <is>
          <t>/</t>
        </is>
      </c>
      <c r="F133" s="26" t="inlineStr">
        <is>
          <t>否</t>
        </is>
      </c>
      <c r="G133" s="26" t="inlineStr">
        <is>
          <t>缺赛</t>
        </is>
      </c>
    </row>
    <row r="134" ht="19" customHeight="1">
      <c r="A134" s="26" t="n">
        <v>132</v>
      </c>
      <c r="B134" s="26" t="inlineStr">
        <is>
          <t>262100007011</t>
        </is>
      </c>
      <c r="C134" s="26" t="inlineStr">
        <is>
          <t>女</t>
        </is>
      </c>
      <c r="D134" s="28" t="n">
        <v>0</v>
      </c>
      <c r="E134" s="26" t="inlineStr">
        <is>
          <t>/</t>
        </is>
      </c>
      <c r="F134" s="26" t="inlineStr">
        <is>
          <t>否</t>
        </is>
      </c>
      <c r="G134" s="26" t="inlineStr">
        <is>
          <t>缺赛</t>
        </is>
      </c>
    </row>
  </sheetData>
  <mergeCells count="2">
    <mergeCell ref="I1:M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2026-10-24T13:44:09Z</dcterms:created>
  <dcterms:modified xmlns:dcterms="http://purl.org/dc/terms/" xmlns:xsi="http://www.w3.org/2001/XMLSchema-instance" xsi:type="dcterms:W3CDTF">2026-10-24T13:44:09Z</dcterms:modified>
</cp:coreProperties>
</file>